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r9deped-my.sharepoint.com/personal/bonnervin_lugatiman001_r9_deped_gov_ph/Documents/WEB APP 2026/Grade Portal EXE/"/>
    </mc:Choice>
  </mc:AlternateContent>
  <xr:revisionPtr revIDLastSave="64" documentId="8_{18B1EB09-CA81-4399-921A-2364E2751FA8}" xr6:coauthVersionLast="47" xr6:coauthVersionMax="47" xr10:uidLastSave="{C11A7FAE-746F-4B85-9FC0-A15BA0C16C35}"/>
  <bookViews>
    <workbookView xWindow="-108" yWindow="-108" windowWidth="23256" windowHeight="13896" xr2:uid="{B75CE1BA-8FAA-470B-BCB6-9F9FD8832A9D}"/>
  </bookViews>
  <sheets>
    <sheet name="SF9 - GRADE 4-10" sheetId="1" r:id="rId1"/>
  </sheets>
  <externalReferences>
    <externalReference r:id="rId2"/>
  </externalReferences>
  <definedNames>
    <definedName name="_xlnm.Print_Area" localSheetId="0">'SF9 - GRADE 4-10'!$A$2:$AD$54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9" i="1" l="1"/>
  <c r="Q41" i="1"/>
  <c r="H41" i="1"/>
  <c r="G41" i="1"/>
  <c r="F41" i="1"/>
  <c r="I41" i="1" s="1"/>
  <c r="X40" i="1"/>
  <c r="H40" i="1"/>
  <c r="G40" i="1"/>
  <c r="I40" i="1" s="1"/>
  <c r="F40" i="1"/>
  <c r="H39" i="1"/>
  <c r="G39" i="1"/>
  <c r="F39" i="1"/>
  <c r="H38" i="1"/>
  <c r="G38" i="1"/>
  <c r="F38" i="1"/>
  <c r="H37" i="1"/>
  <c r="G37" i="1"/>
  <c r="I37" i="1"/>
  <c r="J37" i="1" s="1"/>
  <c r="H36" i="1"/>
  <c r="G36" i="1"/>
  <c r="I36" i="1" s="1"/>
  <c r="J36" i="1" s="1"/>
  <c r="F36" i="1"/>
  <c r="AE35" i="1"/>
  <c r="H35" i="1"/>
  <c r="G35" i="1"/>
  <c r="I35" i="1" s="1"/>
  <c r="J35" i="1" s="1"/>
  <c r="F35" i="1"/>
  <c r="H34" i="1"/>
  <c r="G34" i="1"/>
  <c r="F34" i="1"/>
  <c r="I34" i="1" s="1"/>
  <c r="J34" i="1" s="1"/>
  <c r="H33" i="1"/>
  <c r="G33" i="1"/>
  <c r="F33" i="1"/>
  <c r="H32" i="1"/>
  <c r="G32" i="1"/>
  <c r="F32" i="1"/>
  <c r="I32" i="1" s="1"/>
  <c r="H27" i="1"/>
  <c r="B27" i="1"/>
  <c r="K18" i="1"/>
  <c r="I18" i="1"/>
  <c r="AB7" i="1"/>
  <c r="AB9" i="1" s="1"/>
  <c r="AA7" i="1"/>
  <c r="AA9" i="1" s="1"/>
  <c r="Z7" i="1"/>
  <c r="Z9" i="1" s="1"/>
  <c r="Y7" i="1"/>
  <c r="Y9" i="1" s="1"/>
  <c r="X7" i="1"/>
  <c r="X9" i="1" s="1"/>
  <c r="W7" i="1"/>
  <c r="W9" i="1" s="1"/>
  <c r="V7" i="1"/>
  <c r="V9" i="1" s="1"/>
  <c r="U7" i="1"/>
  <c r="U9" i="1" s="1"/>
  <c r="T7" i="1"/>
  <c r="T9" i="1" s="1"/>
  <c r="S7" i="1"/>
  <c r="S9" i="1" s="1"/>
  <c r="R7" i="1"/>
  <c r="R9" i="1" s="1"/>
  <c r="AC5" i="1"/>
  <c r="I39" i="1" l="1"/>
  <c r="J39" i="1" s="1"/>
  <c r="I38" i="1"/>
  <c r="J38" i="1" s="1"/>
  <c r="I33" i="1"/>
  <c r="J33" i="1" s="1"/>
  <c r="J32" i="1"/>
  <c r="AC7" i="1"/>
  <c r="AC9" i="1" s="1"/>
  <c r="I42" i="1" l="1"/>
  <c r="J42" i="1" s="1"/>
</calcChain>
</file>

<file path=xl/sharedStrings.xml><?xml version="1.0" encoding="utf-8"?>
<sst xmlns="http://schemas.openxmlformats.org/spreadsheetml/2006/main" count="97" uniqueCount="88">
  <si>
    <t>Republic of the Philippines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</si>
  <si>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</si>
  <si>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</si>
  <si>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</si>
  <si>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</si>
  <si>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</si>
  <si>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</si>
  <si>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</si>
  <si>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</si>
  <si>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</si>
  <si>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</si>
  <si>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</si>
  <si>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</si>
  <si>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</si>
  <si>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Department of Education</t>
  </si>
  <si>
    <t>No. of Class Days</t>
  </si>
  <si>
    <t>No. of Days Present</t>
  </si>
  <si>
    <t>No. of Days Absent</t>
  </si>
  <si>
    <t>LEARNER'S PERFORMANCE REPORT</t>
  </si>
  <si>
    <t>TEACHER'S COMMENTS / REMARKS</t>
  </si>
  <si>
    <t>Term 1</t>
  </si>
  <si>
    <t>Name:</t>
  </si>
  <si>
    <t>sample</t>
  </si>
  <si>
    <t xml:space="preserve">  Age:</t>
  </si>
  <si>
    <t>Sex:</t>
  </si>
  <si>
    <t>LRN:</t>
  </si>
  <si>
    <t xml:space="preserve">  Grade:</t>
  </si>
  <si>
    <t>Section:</t>
  </si>
  <si>
    <t>Track (SHS only):</t>
  </si>
  <si>
    <t>Term 2</t>
  </si>
  <si>
    <t>Dear Parents,</t>
  </si>
  <si>
    <t>Term 3</t>
  </si>
  <si>
    <t>School Head</t>
  </si>
  <si>
    <t>Adviser</t>
  </si>
  <si>
    <t>PARENT/S GUARDIAN'S SIGNATURE</t>
  </si>
  <si>
    <t>LEARNING PROGRESS AND ACHIEVEMENT</t>
  </si>
  <si>
    <t>Learning Areas</t>
  </si>
  <si>
    <t>TERM</t>
  </si>
  <si>
    <t>Final Grade</t>
  </si>
  <si>
    <t>Remarks</t>
  </si>
  <si>
    <t>T1</t>
  </si>
  <si>
    <t>T2</t>
  </si>
  <si>
    <t>T3</t>
  </si>
  <si>
    <t>Filipino</t>
  </si>
  <si>
    <t>English</t>
  </si>
  <si>
    <t>CERTIFICATE OF TRANSFER</t>
  </si>
  <si>
    <t>Mathematics</t>
  </si>
  <si>
    <t>Science</t>
  </si>
  <si>
    <t>Araling Panlipunan (AP)</t>
  </si>
  <si>
    <t>GMRC / Values Education</t>
  </si>
  <si>
    <t>Admitted to Grade:</t>
  </si>
  <si>
    <t>EPP/TLE</t>
  </si>
  <si>
    <t>Eligible for Admission to Grade:</t>
  </si>
  <si>
    <t>MAPEH</t>
  </si>
  <si>
    <t>Music and Arts</t>
  </si>
  <si>
    <t>Approved:</t>
  </si>
  <si>
    <t>Physical Education and Health</t>
  </si>
  <si>
    <t>General Average</t>
  </si>
  <si>
    <t>School  Head</t>
  </si>
  <si>
    <t>PERFORMANCE DESCRIPTORS</t>
  </si>
  <si>
    <t>CANCELLATION OF ELIGIBILITY TO TRANSFER</t>
  </si>
  <si>
    <t>Grading Scale</t>
  </si>
  <si>
    <t>Descriptors</t>
  </si>
  <si>
    <t>Admitted in:</t>
  </si>
  <si>
    <t>Date:</t>
  </si>
  <si>
    <t>90-100</t>
  </si>
  <si>
    <t>Advancing</t>
  </si>
  <si>
    <t>Passed</t>
  </si>
  <si>
    <t>80-89</t>
  </si>
  <si>
    <t>Benchmarking</t>
  </si>
  <si>
    <t>75-79</t>
  </si>
  <si>
    <t>Connecting</t>
  </si>
  <si>
    <t>65-74</t>
  </si>
  <si>
    <t>Developing</t>
  </si>
  <si>
    <t>Failed</t>
  </si>
  <si>
    <t>0-64</t>
  </si>
  <si>
    <t>Emerging</t>
  </si>
  <si>
    <t>(Region)</t>
  </si>
  <si>
    <t>(Division)</t>
  </si>
  <si>
    <t>(District)</t>
  </si>
  <si>
    <t>(School Year)</t>
  </si>
  <si>
    <t>(Name of School)</t>
  </si>
  <si>
    <t xml:space="preserve">This is to certify that the above-named learner has satisfactorily </t>
  </si>
  <si>
    <t>completed the requirementsfor the grade level indicated.</t>
  </si>
  <si>
    <t>The school welcomes you to reach out should you wish to know more</t>
  </si>
  <si>
    <t xml:space="preserve"> about your child's learning and performance.</t>
  </si>
  <si>
    <t xml:space="preserve">This Performance Report presents your child's progress and </t>
  </si>
  <si>
    <t>achievement in the different learning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</si>
</sst>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i/>
      <sz val="14"/>
      <color rgb="FF000000"/>
      <name val="Bookman Old Style"/>
      <family val="1"/>
    </font>
    <font>
      <sz val="14"/>
      <color theme="1"/>
      <name val="Bookman Old Style"/>
      <family val="1"/>
    </font>
    <font>
      <sz val="14"/>
      <name val="Arial"/>
      <family val="2"/>
    </font>
    <font>
      <sz val="14"/>
      <color rgb="FF000000"/>
      <name val="Bookman Old Style"/>
      <family val="1"/>
    </font>
    <font>
      <i/>
      <sz val="14"/>
      <color rgb="FF000000"/>
      <name val="Bookman Old Style"/>
      <family val="1"/>
    </font>
    <font>
      <b/>
      <sz val="14"/>
      <color theme="1"/>
      <name val="Bookman Old Style"/>
      <family val="1"/>
    </font>
    <font>
      <b/>
      <sz val="14"/>
      <color rgb="FF000000"/>
      <name val="Bookman Old Style"/>
      <family val="1"/>
    </font>
    <font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sz val="14"/>
      <color rgb="FF000000"/>
      <name val="Arial"/>
      <family val="2"/>
    </font>
    <font>
      <b/>
      <sz val="12"/>
      <color theme="1"/>
      <name val="Bookman Old Style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6" xfId="0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8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0" xfId="0" applyFont="1" applyBorder="1"/>
    <xf numFmtId="0" fontId="8" fillId="0" borderId="10" xfId="0" applyFont="1" applyBorder="1"/>
    <xf numFmtId="0" fontId="2" fillId="0" borderId="14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10" fillId="0" borderId="0" xfId="0" applyFont="1"/>
    <xf numFmtId="0" fontId="2" fillId="0" borderId="5" xfId="0" applyFont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14" xfId="0" applyFont="1" applyBorder="1"/>
    <xf numFmtId="4" fontId="4" fillId="0" borderId="4" xfId="0" applyNumberFormat="1" applyFont="1" applyBorder="1" applyAlignment="1">
      <alignment horizontal="left" wrapText="1"/>
    </xf>
    <xf numFmtId="4" fontId="5" fillId="0" borderId="4" xfId="0" applyNumberFormat="1" applyFont="1" applyBorder="1" applyAlignment="1">
      <alignment horizontal="left" wrapText="1"/>
    </xf>
    <xf numFmtId="4" fontId="1" fillId="0" borderId="4" xfId="0" applyNumberFormat="1" applyFont="1" applyBorder="1" applyAlignment="1">
      <alignment horizontal="center" wrapText="1"/>
    </xf>
    <xf numFmtId="0" fontId="6" fillId="0" borderId="4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2" xfId="0" applyFont="1" applyBorder="1"/>
    <xf numFmtId="0" fontId="2" fillId="0" borderId="0" xfId="0" applyFont="1" applyAlignment="1">
      <alignment horizontal="center"/>
    </xf>
    <xf numFmtId="0" fontId="9" fillId="0" borderId="0" xfId="0" applyFont="1"/>
    <xf numFmtId="0" fontId="6" fillId="0" borderId="14" xfId="0" applyFont="1" applyBorder="1" applyAlignment="1">
      <alignment horizontal="center"/>
    </xf>
    <xf numFmtId="0" fontId="3" fillId="0" borderId="14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4" fontId="5" fillId="0" borderId="18" xfId="0" applyNumberFormat="1" applyFont="1" applyBorder="1" applyAlignment="1">
      <alignment horizontal="left" vertical="center" wrapText="1"/>
    </xf>
    <xf numFmtId="0" fontId="3" fillId="0" borderId="15" xfId="0" applyFont="1" applyBorder="1"/>
    <xf numFmtId="0" fontId="3" fillId="0" borderId="19" xfId="0" applyFont="1" applyBorder="1"/>
    <xf numFmtId="0" fontId="6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3" fillId="0" borderId="10" xfId="0" applyFont="1" applyBorder="1"/>
    <xf numFmtId="4" fontId="1" fillId="0" borderId="9" xfId="0" applyNumberFormat="1" applyFont="1" applyBorder="1" applyAlignment="1">
      <alignment horizontal="right" vertical="center" wrapText="1"/>
    </xf>
    <xf numFmtId="0" fontId="3" fillId="0" borderId="11" xfId="0" applyFont="1" applyBorder="1"/>
    <xf numFmtId="0" fontId="3" fillId="0" borderId="16" xfId="0" applyFont="1" applyBorder="1"/>
    <xf numFmtId="0" fontId="3" fillId="0" borderId="17" xfId="0" applyFont="1" applyBorder="1"/>
    <xf numFmtId="3" fontId="7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/>
    <xf numFmtId="0" fontId="6" fillId="0" borderId="9" xfId="0" applyFont="1" applyBorder="1" applyAlignment="1">
      <alignment horizontal="center" vertical="center"/>
    </xf>
    <xf numFmtId="4" fontId="4" fillId="0" borderId="18" xfId="0" applyNumberFormat="1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11" fillId="0" borderId="7" xfId="0" applyFont="1" applyBorder="1" applyAlignment="1">
      <alignment horizontal="center" vertical="center" wrapText="1"/>
    </xf>
    <xf numFmtId="0" fontId="1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438150</xdr:colOff>
      <xdr:row>2</xdr:row>
      <xdr:rowOff>190500</xdr:rowOff>
    </xdr:from>
    <xdr:ext cx="1285875" cy="1323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2AC9BB2-3AFA-46DA-A106-0F6009A330E8}"/>
            </a:ext>
          </a:extLst>
        </xdr:cNvPr>
        <xdr:cNvSpPr/>
      </xdr:nvSpPr>
      <xdr:spPr>
        <a:xfrm>
          <a:off x="5734050" y="586740"/>
          <a:ext cx="1285875" cy="1323975"/>
        </a:xfrm>
        <a:prstGeom prst="ellipse">
          <a:avLst/>
        </a:prstGeom>
        <a:solidFill>
          <a:srgbClr val="EFEFEF"/>
        </a:solidFill>
        <a:ln w="9525" cap="flat" cmpd="sng">
          <a:solidFill>
            <a:srgbClr val="CCCCCC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Bookman Old Style"/>
            <a:buNone/>
          </a:pPr>
          <a:r>
            <a:rPr lang="en-US" sz="1600" i="1">
              <a:latin typeface="Bookman Old Style"/>
              <a:ea typeface="Bookman Old Style"/>
              <a:cs typeface="Bookman Old Style"/>
              <a:sym typeface="Bookman Old Style"/>
            </a:rPr>
            <a:t>Insert School Logo</a:t>
          </a:r>
          <a:endParaRPr sz="1600" i="1">
            <a:latin typeface="Bookman Old Style"/>
            <a:ea typeface="Bookman Old Style"/>
            <a:cs typeface="Bookman Old Style"/>
            <a:sym typeface="Bookman Old Style"/>
          </a:endParaRPr>
        </a:p>
      </xdr:txBody>
    </xdr:sp>
    <xdr:clientData fLocksWithSheet="0"/>
  </xdr:oneCellAnchor>
  <xdr:oneCellAnchor>
    <xdr:from>
      <xdr:col>1</xdr:col>
      <xdr:colOff>64770</xdr:colOff>
      <xdr:row>3</xdr:row>
      <xdr:rowOff>38100</xdr:rowOff>
    </xdr:from>
    <xdr:ext cx="1314450" cy="13144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FFA79A39-2710-4237-A6CA-CBDECC6CEC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" y="441960"/>
          <a:ext cx="1314450" cy="1314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464820</xdr:colOff>
      <xdr:row>3</xdr:row>
      <xdr:rowOff>53340</xdr:rowOff>
    </xdr:from>
    <xdr:to>
      <xdr:col>10</xdr:col>
      <xdr:colOff>1023975</xdr:colOff>
      <xdr:row>9</xdr:row>
      <xdr:rowOff>99060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A0851C-568B-A690-A301-D2EFD1CF7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0720" y="647700"/>
          <a:ext cx="1244955" cy="1234440"/>
        </a:xfrm>
        <a:prstGeom prst="ellipse">
          <a:avLst/>
        </a:prstGeom>
        <a:ln w="3175" cap="rnd">
          <a:solidFill>
            <a:srgbClr val="333333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ace\Downloads\SF_9.xlsx" TargetMode="External"/><Relationship Id="rId1" Type="http://schemas.openxmlformats.org/officeDocument/2006/relationships/externalLinkPath" Target="file:///C:\Users\grace\Downloads\SF_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INPUT DATA"/>
      <sheetName val="TERM 1 SUMMARY"/>
      <sheetName val="TERM 2 SUMMARY"/>
      <sheetName val="TERM 3 SUMMARY"/>
      <sheetName val="SF9 - GRADE 4-10"/>
      <sheetName val="ATTENDANCE RECORD SUMMARY"/>
    </sheetNames>
    <sheetDataSet>
      <sheetData sheetId="0"/>
      <sheetData sheetId="1">
        <row r="19">
          <cell r="F19"/>
        </row>
        <row r="26">
          <cell r="F26"/>
        </row>
      </sheetData>
      <sheetData sheetId="2">
        <row r="9">
          <cell r="G9" t="str">
            <v/>
          </cell>
        </row>
        <row r="10">
          <cell r="G10" t="str">
            <v/>
          </cell>
        </row>
        <row r="15">
          <cell r="C15" t="str">
            <v/>
          </cell>
          <cell r="D15"/>
          <cell r="E15"/>
          <cell r="F15" t="str">
            <v/>
          </cell>
          <cell r="G15"/>
          <cell r="H15" t="str">
            <v/>
          </cell>
          <cell r="I15" t="str">
            <v/>
          </cell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 t="str">
            <v/>
          </cell>
          <cell r="U15" t="str">
            <v/>
          </cell>
        </row>
        <row r="16">
          <cell r="C16" t="str">
            <v/>
          </cell>
          <cell r="D16"/>
          <cell r="E16"/>
          <cell r="F16" t="str">
            <v/>
          </cell>
          <cell r="G16"/>
          <cell r="H16" t="str">
            <v/>
          </cell>
          <cell r="I16" t="str">
            <v/>
          </cell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 t="str">
            <v/>
          </cell>
          <cell r="U16" t="str">
            <v/>
          </cell>
        </row>
        <row r="17">
          <cell r="C17" t="str">
            <v/>
          </cell>
          <cell r="D17"/>
          <cell r="E17"/>
          <cell r="F17" t="str">
            <v/>
          </cell>
          <cell r="G17"/>
          <cell r="H17" t="str">
            <v/>
          </cell>
          <cell r="I17" t="str">
            <v/>
          </cell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 t="str">
            <v/>
          </cell>
          <cell r="U17" t="str">
            <v/>
          </cell>
        </row>
        <row r="18">
          <cell r="C18" t="str">
            <v/>
          </cell>
          <cell r="D18"/>
          <cell r="E18"/>
          <cell r="F18" t="str">
            <v/>
          </cell>
          <cell r="G18"/>
          <cell r="H18" t="str">
            <v/>
          </cell>
          <cell r="I18" t="str">
            <v/>
          </cell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 t="str">
            <v/>
          </cell>
          <cell r="U18" t="str">
            <v/>
          </cell>
        </row>
        <row r="19">
          <cell r="C19" t="str">
            <v/>
          </cell>
          <cell r="D19"/>
          <cell r="E19"/>
          <cell r="F19" t="str">
            <v/>
          </cell>
          <cell r="G19"/>
          <cell r="H19" t="str">
            <v/>
          </cell>
          <cell r="I19" t="str">
            <v/>
          </cell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 t="str">
            <v/>
          </cell>
          <cell r="U19" t="str">
            <v/>
          </cell>
        </row>
        <row r="20">
          <cell r="C20" t="str">
            <v/>
          </cell>
          <cell r="D20"/>
          <cell r="E20"/>
          <cell r="F20" t="str">
            <v/>
          </cell>
          <cell r="G20"/>
          <cell r="H20" t="str">
            <v/>
          </cell>
          <cell r="I20" t="str">
            <v/>
          </cell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 t="str">
            <v/>
          </cell>
          <cell r="U20" t="str">
            <v/>
          </cell>
        </row>
        <row r="21">
          <cell r="C21" t="str">
            <v/>
          </cell>
          <cell r="D21"/>
          <cell r="E21"/>
          <cell r="F21" t="str">
            <v/>
          </cell>
          <cell r="G21"/>
          <cell r="H21" t="str">
            <v/>
          </cell>
          <cell r="I21" t="str">
            <v/>
          </cell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 t="str">
            <v/>
          </cell>
          <cell r="U21" t="str">
            <v/>
          </cell>
        </row>
        <row r="22">
          <cell r="C22" t="str">
            <v/>
          </cell>
          <cell r="D22"/>
          <cell r="E22"/>
          <cell r="F22" t="str">
            <v/>
          </cell>
          <cell r="G22"/>
          <cell r="H22" t="str">
            <v/>
          </cell>
          <cell r="I22" t="str">
            <v/>
          </cell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 t="str">
            <v/>
          </cell>
          <cell r="U22" t="str">
            <v/>
          </cell>
        </row>
        <row r="23">
          <cell r="C23" t="str">
            <v/>
          </cell>
          <cell r="D23"/>
          <cell r="E23"/>
          <cell r="F23" t="str">
            <v/>
          </cell>
          <cell r="G23"/>
          <cell r="H23" t="str">
            <v/>
          </cell>
          <cell r="I23" t="str">
            <v/>
          </cell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 t="str">
            <v/>
          </cell>
          <cell r="U23" t="str">
            <v/>
          </cell>
        </row>
        <row r="24">
          <cell r="C24" t="str">
            <v/>
          </cell>
          <cell r="D24"/>
          <cell r="E24"/>
          <cell r="F24" t="str">
            <v/>
          </cell>
          <cell r="G24"/>
          <cell r="H24" t="str">
            <v/>
          </cell>
          <cell r="I24" t="str">
            <v/>
          </cell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 t="str">
            <v/>
          </cell>
          <cell r="U24" t="str">
            <v/>
          </cell>
        </row>
        <row r="25">
          <cell r="C25" t="str">
            <v/>
          </cell>
          <cell r="D25"/>
          <cell r="E25"/>
          <cell r="F25" t="str">
            <v/>
          </cell>
          <cell r="G25"/>
          <cell r="H25" t="str">
            <v/>
          </cell>
          <cell r="I25" t="str">
            <v/>
          </cell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 t="str">
            <v/>
          </cell>
          <cell r="U25" t="str">
            <v/>
          </cell>
        </row>
        <row r="26">
          <cell r="C26" t="str">
            <v/>
          </cell>
          <cell r="D26"/>
          <cell r="E26"/>
          <cell r="F26" t="str">
            <v/>
          </cell>
          <cell r="G26"/>
          <cell r="H26" t="str">
            <v/>
          </cell>
          <cell r="I26" t="str">
            <v/>
          </cell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 t="str">
            <v/>
          </cell>
          <cell r="U26" t="str">
            <v/>
          </cell>
        </row>
        <row r="27">
          <cell r="C27" t="str">
            <v/>
          </cell>
          <cell r="D27"/>
          <cell r="E27"/>
          <cell r="F27" t="str">
            <v/>
          </cell>
          <cell r="G27"/>
          <cell r="H27" t="str">
            <v/>
          </cell>
          <cell r="I27" t="str">
            <v/>
          </cell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 t="str">
            <v/>
          </cell>
          <cell r="U27" t="str">
            <v/>
          </cell>
        </row>
        <row r="28">
          <cell r="C28" t="str">
            <v/>
          </cell>
          <cell r="D28"/>
          <cell r="E28"/>
          <cell r="F28" t="str">
            <v/>
          </cell>
          <cell r="G28"/>
          <cell r="H28" t="str">
            <v/>
          </cell>
          <cell r="I28" t="str">
            <v/>
          </cell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 t="str">
            <v/>
          </cell>
          <cell r="U28" t="str">
            <v/>
          </cell>
        </row>
        <row r="29">
          <cell r="C29" t="str">
            <v/>
          </cell>
          <cell r="D29"/>
          <cell r="E29"/>
          <cell r="F29" t="str">
            <v/>
          </cell>
          <cell r="G29"/>
          <cell r="H29" t="str">
            <v/>
          </cell>
          <cell r="I29" t="str">
            <v/>
          </cell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 t="str">
            <v/>
          </cell>
          <cell r="U29" t="str">
            <v/>
          </cell>
        </row>
        <row r="30">
          <cell r="C30" t="str">
            <v/>
          </cell>
          <cell r="D30"/>
          <cell r="E30"/>
          <cell r="F30" t="str">
            <v/>
          </cell>
          <cell r="G30"/>
          <cell r="H30" t="str">
            <v/>
          </cell>
          <cell r="I30" t="str">
            <v/>
          </cell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 t="str">
            <v/>
          </cell>
          <cell r="U30" t="str">
            <v/>
          </cell>
        </row>
        <row r="31">
          <cell r="C31" t="str">
            <v/>
          </cell>
          <cell r="D31"/>
          <cell r="E31"/>
          <cell r="F31" t="str">
            <v/>
          </cell>
          <cell r="G31"/>
          <cell r="H31" t="str">
            <v/>
          </cell>
          <cell r="I31" t="str">
            <v/>
          </cell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 t="str">
            <v/>
          </cell>
          <cell r="U31" t="str">
            <v/>
          </cell>
        </row>
        <row r="32">
          <cell r="C32" t="str">
            <v/>
          </cell>
          <cell r="D32"/>
          <cell r="E32"/>
          <cell r="F32" t="str">
            <v/>
          </cell>
          <cell r="G32"/>
          <cell r="H32" t="str">
            <v/>
          </cell>
          <cell r="I32" t="str">
            <v/>
          </cell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 t="str">
            <v/>
          </cell>
          <cell r="U32" t="str">
            <v/>
          </cell>
        </row>
        <row r="33">
          <cell r="C33" t="str">
            <v/>
          </cell>
          <cell r="D33"/>
          <cell r="E33"/>
          <cell r="F33" t="str">
            <v/>
          </cell>
          <cell r="G33"/>
          <cell r="H33" t="str">
            <v/>
          </cell>
          <cell r="I33" t="str">
            <v/>
          </cell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 t="str">
            <v/>
          </cell>
          <cell r="U33" t="str">
            <v/>
          </cell>
        </row>
        <row r="34">
          <cell r="C34" t="str">
            <v/>
          </cell>
          <cell r="D34"/>
          <cell r="E34"/>
          <cell r="F34" t="str">
            <v/>
          </cell>
          <cell r="G34"/>
          <cell r="H34" t="str">
            <v/>
          </cell>
          <cell r="I34" t="str">
            <v/>
          </cell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 t="str">
            <v/>
          </cell>
          <cell r="U34" t="str">
            <v/>
          </cell>
        </row>
        <row r="35">
          <cell r="C35" t="str">
            <v/>
          </cell>
          <cell r="D35"/>
          <cell r="E35"/>
          <cell r="F35" t="str">
            <v/>
          </cell>
          <cell r="G35"/>
          <cell r="H35" t="str">
            <v/>
          </cell>
          <cell r="I35" t="str">
            <v/>
          </cell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 t="str">
            <v/>
          </cell>
          <cell r="U35" t="str">
            <v/>
          </cell>
        </row>
        <row r="36">
          <cell r="C36" t="str">
            <v/>
          </cell>
          <cell r="D36"/>
          <cell r="E36"/>
          <cell r="F36" t="str">
            <v/>
          </cell>
          <cell r="G36"/>
          <cell r="H36" t="str">
            <v/>
          </cell>
          <cell r="I36" t="str">
            <v/>
          </cell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 t="str">
            <v/>
          </cell>
          <cell r="U36" t="str">
            <v/>
          </cell>
        </row>
        <row r="37">
          <cell r="C37" t="str">
            <v/>
          </cell>
          <cell r="D37"/>
          <cell r="E37"/>
          <cell r="F37" t="str">
            <v/>
          </cell>
          <cell r="G37"/>
          <cell r="H37" t="str">
            <v/>
          </cell>
          <cell r="I37" t="str">
            <v/>
          </cell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 t="str">
            <v/>
          </cell>
          <cell r="U37" t="str">
            <v/>
          </cell>
        </row>
        <row r="38">
          <cell r="C38" t="str">
            <v/>
          </cell>
          <cell r="D38"/>
          <cell r="E38"/>
          <cell r="F38" t="str">
            <v/>
          </cell>
          <cell r="G38"/>
          <cell r="H38" t="str">
            <v/>
          </cell>
          <cell r="I38" t="str">
            <v/>
          </cell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 t="str">
            <v/>
          </cell>
          <cell r="U38" t="str">
            <v/>
          </cell>
        </row>
        <row r="39">
          <cell r="C39" t="str">
            <v/>
          </cell>
          <cell r="D39"/>
          <cell r="E39"/>
          <cell r="F39" t="str">
            <v/>
          </cell>
          <cell r="G39"/>
          <cell r="H39" t="str">
            <v/>
          </cell>
          <cell r="I39" t="str">
            <v/>
          </cell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 t="str">
            <v/>
          </cell>
          <cell r="U39" t="str">
            <v/>
          </cell>
        </row>
        <row r="40">
          <cell r="C40" t="str">
            <v/>
          </cell>
          <cell r="D40"/>
          <cell r="E40"/>
          <cell r="F40" t="str">
            <v/>
          </cell>
          <cell r="G40"/>
          <cell r="H40" t="str">
            <v/>
          </cell>
          <cell r="I40" t="str">
            <v/>
          </cell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 t="str">
            <v/>
          </cell>
          <cell r="U40" t="str">
            <v/>
          </cell>
        </row>
        <row r="41">
          <cell r="C41" t="str">
            <v/>
          </cell>
          <cell r="D41"/>
          <cell r="E41"/>
          <cell r="F41" t="str">
            <v/>
          </cell>
          <cell r="G41"/>
          <cell r="H41" t="str">
            <v/>
          </cell>
          <cell r="I41" t="str">
            <v/>
          </cell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 t="str">
            <v/>
          </cell>
          <cell r="U41" t="str">
            <v/>
          </cell>
        </row>
        <row r="42">
          <cell r="C42" t="str">
            <v/>
          </cell>
          <cell r="D42"/>
          <cell r="E42"/>
          <cell r="F42" t="str">
            <v/>
          </cell>
          <cell r="G42"/>
          <cell r="H42" t="str">
            <v/>
          </cell>
          <cell r="I42" t="str">
            <v/>
          </cell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 t="str">
            <v/>
          </cell>
          <cell r="U42" t="str">
            <v/>
          </cell>
        </row>
        <row r="43">
          <cell r="C43" t="str">
            <v/>
          </cell>
          <cell r="D43"/>
          <cell r="E43"/>
          <cell r="F43" t="str">
            <v/>
          </cell>
          <cell r="G43"/>
          <cell r="H43" t="str">
            <v/>
          </cell>
          <cell r="I43" t="str">
            <v/>
          </cell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 t="str">
            <v/>
          </cell>
          <cell r="U43" t="str">
            <v/>
          </cell>
        </row>
        <row r="44">
          <cell r="C44" t="str">
            <v/>
          </cell>
          <cell r="D44"/>
          <cell r="E44"/>
          <cell r="F44" t="str">
            <v/>
          </cell>
          <cell r="G44"/>
          <cell r="H44" t="str">
            <v/>
          </cell>
          <cell r="I44" t="str">
            <v/>
          </cell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 t="str">
            <v/>
          </cell>
          <cell r="U44" t="str">
            <v/>
          </cell>
        </row>
        <row r="45">
          <cell r="C45" t="str">
            <v/>
          </cell>
          <cell r="D45"/>
          <cell r="E45"/>
          <cell r="F45" t="str">
            <v/>
          </cell>
          <cell r="G45"/>
          <cell r="H45" t="str">
            <v/>
          </cell>
          <cell r="I45" t="str">
            <v/>
          </cell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 t="str">
            <v/>
          </cell>
          <cell r="U45" t="str">
            <v/>
          </cell>
        </row>
        <row r="46">
          <cell r="C46" t="str">
            <v/>
          </cell>
          <cell r="D46"/>
          <cell r="E46"/>
          <cell r="F46" t="str">
            <v/>
          </cell>
          <cell r="G46"/>
          <cell r="H46" t="str">
            <v/>
          </cell>
          <cell r="I46" t="str">
            <v/>
          </cell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 t="str">
            <v/>
          </cell>
          <cell r="U46" t="str">
            <v/>
          </cell>
        </row>
        <row r="47">
          <cell r="C47" t="str">
            <v/>
          </cell>
          <cell r="D47"/>
          <cell r="E47"/>
          <cell r="F47" t="str">
            <v/>
          </cell>
          <cell r="G47"/>
          <cell r="H47" t="str">
            <v/>
          </cell>
          <cell r="I47" t="str">
            <v/>
          </cell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 t="str">
            <v/>
          </cell>
          <cell r="U47" t="str">
            <v/>
          </cell>
        </row>
        <row r="48">
          <cell r="C48" t="str">
            <v/>
          </cell>
          <cell r="D48"/>
          <cell r="E48"/>
          <cell r="F48" t="str">
            <v/>
          </cell>
          <cell r="G48"/>
          <cell r="H48" t="str">
            <v/>
          </cell>
          <cell r="I48" t="str">
            <v/>
          </cell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 t="str">
            <v/>
          </cell>
          <cell r="U48" t="str">
            <v/>
          </cell>
        </row>
        <row r="49">
          <cell r="C49" t="str">
            <v/>
          </cell>
          <cell r="D49"/>
          <cell r="E49"/>
          <cell r="F49" t="str">
            <v/>
          </cell>
          <cell r="G49"/>
          <cell r="H49" t="str">
            <v/>
          </cell>
          <cell r="I49" t="str">
            <v/>
          </cell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 t="str">
            <v/>
          </cell>
          <cell r="U49" t="str">
            <v/>
          </cell>
        </row>
        <row r="50">
          <cell r="C50" t="str">
            <v/>
          </cell>
          <cell r="D50"/>
          <cell r="E50"/>
          <cell r="F50" t="str">
            <v/>
          </cell>
          <cell r="G50"/>
          <cell r="H50" t="str">
            <v/>
          </cell>
          <cell r="I50" t="str">
            <v/>
          </cell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 t="str">
            <v/>
          </cell>
          <cell r="U50" t="str">
            <v/>
          </cell>
        </row>
        <row r="51">
          <cell r="C51" t="str">
            <v/>
          </cell>
          <cell r="D51"/>
          <cell r="E51"/>
          <cell r="F51" t="str">
            <v/>
          </cell>
          <cell r="G51"/>
          <cell r="H51" t="str">
            <v/>
          </cell>
          <cell r="I51" t="str">
            <v/>
          </cell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 t="str">
            <v/>
          </cell>
          <cell r="U51" t="str">
            <v/>
          </cell>
        </row>
        <row r="52">
          <cell r="C52" t="str">
            <v/>
          </cell>
          <cell r="D52"/>
          <cell r="E52"/>
          <cell r="F52" t="str">
            <v/>
          </cell>
          <cell r="G52"/>
          <cell r="H52" t="str">
            <v/>
          </cell>
          <cell r="I52" t="str">
            <v/>
          </cell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 t="str">
            <v/>
          </cell>
          <cell r="U52" t="str">
            <v/>
          </cell>
        </row>
        <row r="53">
          <cell r="C53" t="str">
            <v/>
          </cell>
          <cell r="D53"/>
          <cell r="E53"/>
          <cell r="F53" t="str">
            <v/>
          </cell>
          <cell r="G53"/>
          <cell r="H53" t="str">
            <v/>
          </cell>
          <cell r="I53" t="str">
            <v/>
          </cell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 t="str">
            <v/>
          </cell>
          <cell r="U53" t="str">
            <v/>
          </cell>
        </row>
        <row r="54">
          <cell r="C54" t="str">
            <v/>
          </cell>
          <cell r="D54"/>
          <cell r="E54"/>
          <cell r="F54" t="str">
            <v/>
          </cell>
          <cell r="G54"/>
          <cell r="H54" t="str">
            <v/>
          </cell>
          <cell r="I54" t="str">
            <v/>
          </cell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 t="str">
            <v/>
          </cell>
          <cell r="U54" t="str">
            <v/>
          </cell>
        </row>
        <row r="55">
          <cell r="C55" t="str">
            <v/>
          </cell>
          <cell r="D55"/>
          <cell r="E55"/>
          <cell r="F55" t="str">
            <v/>
          </cell>
          <cell r="G55"/>
          <cell r="H55" t="str">
            <v/>
          </cell>
          <cell r="I55" t="str">
            <v/>
          </cell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 t="str">
            <v/>
          </cell>
          <cell r="U55" t="str">
            <v/>
          </cell>
        </row>
        <row r="56">
          <cell r="C56" t="str">
            <v/>
          </cell>
          <cell r="D56"/>
          <cell r="E56"/>
          <cell r="F56" t="str">
            <v/>
          </cell>
          <cell r="G56"/>
          <cell r="H56" t="str">
            <v/>
          </cell>
          <cell r="I56" t="str">
            <v/>
          </cell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 t="str">
            <v/>
          </cell>
          <cell r="U56" t="str">
            <v/>
          </cell>
        </row>
        <row r="57">
          <cell r="C57" t="str">
            <v/>
          </cell>
          <cell r="D57"/>
          <cell r="E57"/>
          <cell r="F57" t="str">
            <v/>
          </cell>
          <cell r="G57"/>
          <cell r="H57" t="str">
            <v/>
          </cell>
          <cell r="I57" t="str">
            <v/>
          </cell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 t="str">
            <v/>
          </cell>
          <cell r="U57" t="str">
            <v/>
          </cell>
        </row>
        <row r="58">
          <cell r="C58" t="str">
            <v/>
          </cell>
          <cell r="D58"/>
          <cell r="E58"/>
          <cell r="F58" t="str">
            <v/>
          </cell>
          <cell r="G58"/>
          <cell r="H58" t="str">
            <v/>
          </cell>
          <cell r="I58" t="str">
            <v/>
          </cell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 t="str">
            <v/>
          </cell>
          <cell r="U58" t="str">
            <v/>
          </cell>
        </row>
        <row r="59">
          <cell r="C59" t="str">
            <v/>
          </cell>
          <cell r="D59"/>
          <cell r="E59"/>
          <cell r="F59" t="str">
            <v/>
          </cell>
          <cell r="G59"/>
          <cell r="H59" t="str">
            <v/>
          </cell>
          <cell r="I59" t="str">
            <v/>
          </cell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 t="str">
            <v/>
          </cell>
          <cell r="U59" t="str">
            <v/>
          </cell>
        </row>
        <row r="60">
          <cell r="C60" t="str">
            <v/>
          </cell>
          <cell r="D60"/>
          <cell r="E60"/>
          <cell r="F60" t="str">
            <v/>
          </cell>
          <cell r="G60"/>
          <cell r="H60" t="str">
            <v/>
          </cell>
          <cell r="I60" t="str">
            <v/>
          </cell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 t="str">
            <v/>
          </cell>
          <cell r="U60" t="str">
            <v/>
          </cell>
        </row>
        <row r="61">
          <cell r="C61" t="str">
            <v/>
          </cell>
          <cell r="D61"/>
          <cell r="E61"/>
          <cell r="F61" t="str">
            <v/>
          </cell>
          <cell r="G61"/>
          <cell r="H61" t="str">
            <v/>
          </cell>
          <cell r="I61" t="str">
            <v/>
          </cell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 t="str">
            <v/>
          </cell>
          <cell r="U61" t="str">
            <v/>
          </cell>
        </row>
        <row r="62">
          <cell r="C62" t="str">
            <v/>
          </cell>
          <cell r="D62"/>
          <cell r="E62"/>
          <cell r="F62" t="str">
            <v/>
          </cell>
          <cell r="G62"/>
          <cell r="H62" t="str">
            <v/>
          </cell>
          <cell r="I62" t="str">
            <v/>
          </cell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 t="str">
            <v/>
          </cell>
          <cell r="U62" t="str">
            <v/>
          </cell>
        </row>
        <row r="63">
          <cell r="C63" t="str">
            <v/>
          </cell>
          <cell r="D63"/>
          <cell r="E63"/>
          <cell r="F63" t="str">
            <v/>
          </cell>
          <cell r="G63"/>
          <cell r="H63" t="str">
            <v/>
          </cell>
          <cell r="I63" t="str">
            <v/>
          </cell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 t="str">
            <v/>
          </cell>
          <cell r="U63" t="str">
            <v/>
          </cell>
        </row>
        <row r="64">
          <cell r="C64" t="str">
            <v/>
          </cell>
          <cell r="D64"/>
          <cell r="E64"/>
          <cell r="F64" t="str">
            <v/>
          </cell>
          <cell r="G64"/>
          <cell r="H64" t="str">
            <v/>
          </cell>
          <cell r="I64" t="str">
            <v/>
          </cell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 t="str">
            <v/>
          </cell>
          <cell r="U64" t="str">
            <v/>
          </cell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</row>
        <row r="66">
          <cell r="C66" t="str">
            <v/>
          </cell>
          <cell r="D66"/>
          <cell r="E66"/>
          <cell r="F66" t="str">
            <v/>
          </cell>
          <cell r="G66"/>
          <cell r="H66" t="str">
            <v/>
          </cell>
          <cell r="I66" t="str">
            <v/>
          </cell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 t="str">
            <v/>
          </cell>
          <cell r="U66" t="str">
            <v/>
          </cell>
        </row>
        <row r="67">
          <cell r="C67" t="str">
            <v/>
          </cell>
          <cell r="D67"/>
          <cell r="E67"/>
          <cell r="F67" t="str">
            <v/>
          </cell>
          <cell r="G67"/>
          <cell r="H67" t="str">
            <v/>
          </cell>
          <cell r="I67" t="str">
            <v/>
          </cell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 t="str">
            <v/>
          </cell>
          <cell r="U67" t="str">
            <v/>
          </cell>
        </row>
        <row r="68">
          <cell r="C68" t="str">
            <v/>
          </cell>
          <cell r="D68"/>
          <cell r="E68"/>
          <cell r="F68" t="str">
            <v/>
          </cell>
          <cell r="G68"/>
          <cell r="H68" t="str">
            <v/>
          </cell>
          <cell r="I68" t="str">
            <v/>
          </cell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 t="str">
            <v/>
          </cell>
          <cell r="U68" t="str">
            <v/>
          </cell>
        </row>
        <row r="69">
          <cell r="C69" t="str">
            <v/>
          </cell>
          <cell r="D69"/>
          <cell r="E69"/>
          <cell r="F69" t="str">
            <v/>
          </cell>
          <cell r="G69"/>
          <cell r="H69" t="str">
            <v/>
          </cell>
          <cell r="I69" t="str">
            <v/>
          </cell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 t="str">
            <v/>
          </cell>
          <cell r="U69" t="str">
            <v/>
          </cell>
        </row>
        <row r="70">
          <cell r="C70" t="str">
            <v/>
          </cell>
          <cell r="D70"/>
          <cell r="E70"/>
          <cell r="F70" t="str">
            <v/>
          </cell>
          <cell r="G70"/>
          <cell r="H70" t="str">
            <v/>
          </cell>
          <cell r="I70" t="str">
            <v/>
          </cell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 t="str">
            <v/>
          </cell>
          <cell r="U70" t="str">
            <v/>
          </cell>
        </row>
        <row r="71">
          <cell r="C71" t="str">
            <v/>
          </cell>
          <cell r="D71"/>
          <cell r="E71"/>
          <cell r="F71" t="str">
            <v/>
          </cell>
          <cell r="G71"/>
          <cell r="H71" t="str">
            <v/>
          </cell>
          <cell r="I71" t="str">
            <v/>
          </cell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 t="str">
            <v/>
          </cell>
          <cell r="U71" t="str">
            <v/>
          </cell>
        </row>
        <row r="72">
          <cell r="C72" t="str">
            <v/>
          </cell>
          <cell r="D72"/>
          <cell r="E72"/>
          <cell r="F72" t="str">
            <v/>
          </cell>
          <cell r="G72"/>
          <cell r="H72" t="str">
            <v/>
          </cell>
          <cell r="I72" t="str">
            <v/>
          </cell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 t="str">
            <v/>
          </cell>
          <cell r="U72" t="str">
            <v/>
          </cell>
        </row>
        <row r="73">
          <cell r="C73" t="str">
            <v/>
          </cell>
          <cell r="D73"/>
          <cell r="E73"/>
          <cell r="F73" t="str">
            <v/>
          </cell>
          <cell r="G73"/>
          <cell r="H73" t="str">
            <v/>
          </cell>
          <cell r="I73" t="str">
            <v/>
          </cell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 t="str">
            <v/>
          </cell>
          <cell r="U73" t="str">
            <v/>
          </cell>
        </row>
        <row r="74">
          <cell r="C74" t="str">
            <v/>
          </cell>
          <cell r="D74"/>
          <cell r="E74"/>
          <cell r="F74" t="str">
            <v/>
          </cell>
          <cell r="G74"/>
          <cell r="H74" t="str">
            <v/>
          </cell>
          <cell r="I74" t="str">
            <v/>
          </cell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 t="str">
            <v/>
          </cell>
          <cell r="U74" t="str">
            <v/>
          </cell>
        </row>
        <row r="75">
          <cell r="C75" t="str">
            <v/>
          </cell>
          <cell r="D75"/>
          <cell r="E75"/>
          <cell r="F75" t="str">
            <v/>
          </cell>
          <cell r="G75"/>
          <cell r="H75" t="str">
            <v/>
          </cell>
          <cell r="I75" t="str">
            <v/>
          </cell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 t="str">
            <v/>
          </cell>
          <cell r="U75" t="str">
            <v/>
          </cell>
        </row>
        <row r="76">
          <cell r="C76" t="str">
            <v/>
          </cell>
          <cell r="D76"/>
          <cell r="E76"/>
          <cell r="F76" t="str">
            <v/>
          </cell>
          <cell r="G76"/>
          <cell r="H76" t="str">
            <v/>
          </cell>
          <cell r="I76" t="str">
            <v/>
          </cell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 t="str">
            <v/>
          </cell>
          <cell r="U76" t="str">
            <v/>
          </cell>
        </row>
        <row r="77">
          <cell r="C77" t="str">
            <v/>
          </cell>
          <cell r="D77"/>
          <cell r="E77"/>
          <cell r="F77" t="str">
            <v/>
          </cell>
          <cell r="G77"/>
          <cell r="H77" t="str">
            <v/>
          </cell>
          <cell r="I77" t="str">
            <v/>
          </cell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 t="str">
            <v/>
          </cell>
          <cell r="U77" t="str">
            <v/>
          </cell>
        </row>
        <row r="78">
          <cell r="C78" t="str">
            <v/>
          </cell>
          <cell r="D78"/>
          <cell r="E78"/>
          <cell r="F78" t="str">
            <v/>
          </cell>
          <cell r="G78"/>
          <cell r="H78" t="str">
            <v/>
          </cell>
          <cell r="I78" t="str">
            <v/>
          </cell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 t="str">
            <v/>
          </cell>
          <cell r="U78" t="str">
            <v/>
          </cell>
        </row>
        <row r="79">
          <cell r="C79" t="str">
            <v/>
          </cell>
          <cell r="D79"/>
          <cell r="E79"/>
          <cell r="F79" t="str">
            <v/>
          </cell>
          <cell r="G79"/>
          <cell r="H79" t="str">
            <v/>
          </cell>
          <cell r="I79" t="str">
            <v/>
          </cell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 t="str">
            <v/>
          </cell>
          <cell r="U79" t="str">
            <v/>
          </cell>
        </row>
        <row r="80">
          <cell r="C80" t="str">
            <v/>
          </cell>
          <cell r="D80"/>
          <cell r="E80"/>
          <cell r="F80" t="str">
            <v/>
          </cell>
          <cell r="G80"/>
          <cell r="H80" t="str">
            <v/>
          </cell>
          <cell r="I80" t="str">
            <v/>
          </cell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 t="str">
            <v/>
          </cell>
          <cell r="U80" t="str">
            <v/>
          </cell>
        </row>
        <row r="81">
          <cell r="C81" t="str">
            <v/>
          </cell>
          <cell r="D81"/>
          <cell r="E81"/>
          <cell r="F81" t="str">
            <v/>
          </cell>
          <cell r="G81"/>
          <cell r="H81" t="str">
            <v/>
          </cell>
          <cell r="I81" t="str">
            <v/>
          </cell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 t="str">
            <v/>
          </cell>
          <cell r="U81" t="str">
            <v/>
          </cell>
        </row>
        <row r="82">
          <cell r="C82" t="str">
            <v/>
          </cell>
          <cell r="D82"/>
          <cell r="E82"/>
          <cell r="F82" t="str">
            <v/>
          </cell>
          <cell r="G82"/>
          <cell r="H82" t="str">
            <v/>
          </cell>
          <cell r="I82" t="str">
            <v/>
          </cell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 t="str">
            <v/>
          </cell>
          <cell r="U82" t="str">
            <v/>
          </cell>
        </row>
        <row r="83">
          <cell r="C83" t="str">
            <v/>
          </cell>
          <cell r="D83"/>
          <cell r="E83"/>
          <cell r="F83" t="str">
            <v/>
          </cell>
          <cell r="G83"/>
          <cell r="H83" t="str">
            <v/>
          </cell>
          <cell r="I83" t="str">
            <v/>
          </cell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 t="str">
            <v/>
          </cell>
          <cell r="U83" t="str">
            <v/>
          </cell>
        </row>
        <row r="84">
          <cell r="C84" t="str">
            <v/>
          </cell>
          <cell r="D84"/>
          <cell r="E84"/>
          <cell r="F84" t="str">
            <v/>
          </cell>
          <cell r="G84"/>
          <cell r="H84" t="str">
            <v/>
          </cell>
          <cell r="I84" t="str">
            <v/>
          </cell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 t="str">
            <v/>
          </cell>
          <cell r="U84" t="str">
            <v/>
          </cell>
        </row>
        <row r="85">
          <cell r="C85" t="str">
            <v/>
          </cell>
          <cell r="D85"/>
          <cell r="E85"/>
          <cell r="F85" t="str">
            <v/>
          </cell>
          <cell r="G85"/>
          <cell r="H85" t="str">
            <v/>
          </cell>
          <cell r="I85" t="str">
            <v/>
          </cell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 t="str">
            <v/>
          </cell>
          <cell r="U85" t="str">
            <v/>
          </cell>
        </row>
        <row r="86">
          <cell r="C86" t="str">
            <v/>
          </cell>
          <cell r="D86"/>
          <cell r="E86"/>
          <cell r="F86" t="str">
            <v/>
          </cell>
          <cell r="G86"/>
          <cell r="H86" t="str">
            <v/>
          </cell>
          <cell r="I86" t="str">
            <v/>
          </cell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 t="str">
            <v/>
          </cell>
          <cell r="U86" t="str">
            <v/>
          </cell>
        </row>
        <row r="87">
          <cell r="C87" t="str">
            <v/>
          </cell>
          <cell r="D87"/>
          <cell r="E87"/>
          <cell r="F87" t="str">
            <v/>
          </cell>
          <cell r="G87"/>
          <cell r="H87" t="str">
            <v/>
          </cell>
          <cell r="I87" t="str">
            <v/>
          </cell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 t="str">
            <v/>
          </cell>
          <cell r="U87" t="str">
            <v/>
          </cell>
        </row>
        <row r="88">
          <cell r="C88" t="str">
            <v/>
          </cell>
          <cell r="D88"/>
          <cell r="E88"/>
          <cell r="F88" t="str">
            <v/>
          </cell>
          <cell r="G88"/>
          <cell r="H88" t="str">
            <v/>
          </cell>
          <cell r="I88" t="str">
            <v/>
          </cell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 t="str">
            <v/>
          </cell>
          <cell r="U88" t="str">
            <v/>
          </cell>
        </row>
        <row r="89">
          <cell r="C89" t="str">
            <v/>
          </cell>
          <cell r="D89"/>
          <cell r="E89"/>
          <cell r="F89" t="str">
            <v/>
          </cell>
          <cell r="G89"/>
          <cell r="H89" t="str">
            <v/>
          </cell>
          <cell r="I89" t="str">
            <v/>
          </cell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 t="str">
            <v/>
          </cell>
          <cell r="U89" t="str">
            <v/>
          </cell>
        </row>
        <row r="90">
          <cell r="C90" t="str">
            <v/>
          </cell>
          <cell r="D90"/>
          <cell r="E90"/>
          <cell r="F90" t="str">
            <v/>
          </cell>
          <cell r="G90"/>
          <cell r="H90" t="str">
            <v/>
          </cell>
          <cell r="I90" t="str">
            <v/>
          </cell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 t="str">
            <v/>
          </cell>
          <cell r="U90" t="str">
            <v/>
          </cell>
        </row>
        <row r="91">
          <cell r="C91" t="str">
            <v/>
          </cell>
          <cell r="D91"/>
          <cell r="E91"/>
          <cell r="F91" t="str">
            <v/>
          </cell>
          <cell r="G91"/>
          <cell r="H91" t="str">
            <v/>
          </cell>
          <cell r="I91" t="str">
            <v/>
          </cell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 t="str">
            <v/>
          </cell>
          <cell r="U91" t="str">
            <v/>
          </cell>
        </row>
        <row r="92">
          <cell r="C92" t="str">
            <v/>
          </cell>
          <cell r="D92"/>
          <cell r="E92"/>
          <cell r="F92" t="str">
            <v/>
          </cell>
          <cell r="G92"/>
          <cell r="H92" t="str">
            <v/>
          </cell>
          <cell r="I92" t="str">
            <v/>
          </cell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 t="str">
            <v/>
          </cell>
          <cell r="U92" t="str">
            <v/>
          </cell>
        </row>
        <row r="93">
          <cell r="C93" t="str">
            <v/>
          </cell>
          <cell r="D93"/>
          <cell r="E93"/>
          <cell r="F93" t="str">
            <v/>
          </cell>
          <cell r="G93"/>
          <cell r="H93" t="str">
            <v/>
          </cell>
          <cell r="I93" t="str">
            <v/>
          </cell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 t="str">
            <v/>
          </cell>
          <cell r="U93" t="str">
            <v/>
          </cell>
        </row>
        <row r="94">
          <cell r="C94" t="str">
            <v/>
          </cell>
          <cell r="D94"/>
          <cell r="E94"/>
          <cell r="F94" t="str">
            <v/>
          </cell>
          <cell r="G94"/>
          <cell r="H94" t="str">
            <v/>
          </cell>
          <cell r="I94" t="str">
            <v/>
          </cell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 t="str">
            <v/>
          </cell>
          <cell r="U94" t="str">
            <v/>
          </cell>
        </row>
        <row r="95">
          <cell r="C95" t="str">
            <v/>
          </cell>
          <cell r="D95"/>
          <cell r="E95"/>
          <cell r="F95" t="str">
            <v/>
          </cell>
          <cell r="G95"/>
          <cell r="H95" t="str">
            <v/>
          </cell>
          <cell r="I95" t="str">
            <v/>
          </cell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 t="str">
            <v/>
          </cell>
          <cell r="U95" t="str">
            <v/>
          </cell>
        </row>
        <row r="96">
          <cell r="C96" t="str">
            <v/>
          </cell>
          <cell r="D96"/>
          <cell r="E96"/>
          <cell r="F96" t="str">
            <v/>
          </cell>
          <cell r="G96"/>
          <cell r="H96" t="str">
            <v/>
          </cell>
          <cell r="I96" t="str">
            <v/>
          </cell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 t="str">
            <v/>
          </cell>
          <cell r="U96" t="str">
            <v/>
          </cell>
        </row>
        <row r="97">
          <cell r="C97" t="str">
            <v/>
          </cell>
          <cell r="D97"/>
          <cell r="E97"/>
          <cell r="F97" t="str">
            <v/>
          </cell>
          <cell r="G97"/>
          <cell r="H97" t="str">
            <v/>
          </cell>
          <cell r="I97" t="str">
            <v/>
          </cell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 t="str">
            <v/>
          </cell>
          <cell r="U97" t="str">
            <v/>
          </cell>
        </row>
        <row r="98">
          <cell r="C98" t="str">
            <v/>
          </cell>
          <cell r="D98"/>
          <cell r="E98"/>
          <cell r="F98" t="str">
            <v/>
          </cell>
          <cell r="G98"/>
          <cell r="H98" t="str">
            <v/>
          </cell>
          <cell r="I98" t="str">
            <v/>
          </cell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 t="str">
            <v/>
          </cell>
          <cell r="U98" t="str">
            <v/>
          </cell>
        </row>
        <row r="99">
          <cell r="C99" t="str">
            <v/>
          </cell>
          <cell r="D99"/>
          <cell r="E99"/>
          <cell r="F99" t="str">
            <v/>
          </cell>
          <cell r="G99"/>
          <cell r="H99" t="str">
            <v/>
          </cell>
          <cell r="I99" t="str">
            <v/>
          </cell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 t="str">
            <v/>
          </cell>
          <cell r="U99" t="str">
            <v/>
          </cell>
        </row>
        <row r="100">
          <cell r="C100" t="str">
            <v/>
          </cell>
          <cell r="D100"/>
          <cell r="E100"/>
          <cell r="F100" t="str">
            <v/>
          </cell>
          <cell r="G100"/>
          <cell r="H100" t="str">
            <v/>
          </cell>
          <cell r="I100" t="str">
            <v/>
          </cell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 t="str">
            <v/>
          </cell>
          <cell r="U100" t="str">
            <v/>
          </cell>
        </row>
        <row r="101">
          <cell r="C101" t="str">
            <v/>
          </cell>
          <cell r="D101"/>
          <cell r="E101"/>
          <cell r="F101" t="str">
            <v/>
          </cell>
          <cell r="G101"/>
          <cell r="H101" t="str">
            <v/>
          </cell>
          <cell r="I101" t="str">
            <v/>
          </cell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 t="str">
            <v/>
          </cell>
          <cell r="U101" t="str">
            <v/>
          </cell>
        </row>
        <row r="102">
          <cell r="C102" t="str">
            <v/>
          </cell>
          <cell r="D102"/>
          <cell r="E102"/>
          <cell r="F102" t="str">
            <v/>
          </cell>
          <cell r="G102"/>
          <cell r="H102" t="str">
            <v/>
          </cell>
          <cell r="I102" t="str">
            <v/>
          </cell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 t="str">
            <v/>
          </cell>
          <cell r="U102" t="str">
            <v/>
          </cell>
        </row>
        <row r="103">
          <cell r="C103" t="str">
            <v/>
          </cell>
          <cell r="D103"/>
          <cell r="E103"/>
          <cell r="F103" t="str">
            <v/>
          </cell>
          <cell r="G103"/>
          <cell r="H103" t="str">
            <v/>
          </cell>
          <cell r="I103" t="str">
            <v/>
          </cell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 t="str">
            <v/>
          </cell>
          <cell r="U103" t="str">
            <v/>
          </cell>
        </row>
        <row r="104">
          <cell r="C104" t="str">
            <v/>
          </cell>
          <cell r="D104"/>
          <cell r="E104"/>
          <cell r="F104" t="str">
            <v/>
          </cell>
          <cell r="G104"/>
          <cell r="H104" t="str">
            <v/>
          </cell>
          <cell r="I104" t="str">
            <v/>
          </cell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 t="str">
            <v/>
          </cell>
          <cell r="U104" t="str">
            <v/>
          </cell>
        </row>
        <row r="105">
          <cell r="C105" t="str">
            <v/>
          </cell>
          <cell r="D105"/>
          <cell r="E105"/>
          <cell r="F105" t="str">
            <v/>
          </cell>
          <cell r="G105"/>
          <cell r="H105" t="str">
            <v/>
          </cell>
          <cell r="I105" t="str">
            <v/>
          </cell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 t="str">
            <v/>
          </cell>
          <cell r="U105" t="str">
            <v/>
          </cell>
        </row>
        <row r="106">
          <cell r="C106" t="str">
            <v/>
          </cell>
          <cell r="D106"/>
          <cell r="E106"/>
          <cell r="F106" t="str">
            <v/>
          </cell>
          <cell r="G106"/>
          <cell r="H106" t="str">
            <v/>
          </cell>
          <cell r="I106" t="str">
            <v/>
          </cell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 t="str">
            <v/>
          </cell>
          <cell r="U106" t="str">
            <v/>
          </cell>
        </row>
        <row r="107">
          <cell r="C107" t="str">
            <v/>
          </cell>
          <cell r="D107"/>
          <cell r="E107"/>
          <cell r="F107" t="str">
            <v/>
          </cell>
          <cell r="G107"/>
          <cell r="H107" t="str">
            <v/>
          </cell>
          <cell r="I107" t="str">
            <v/>
          </cell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 t="str">
            <v/>
          </cell>
          <cell r="U107" t="str">
            <v/>
          </cell>
        </row>
        <row r="108">
          <cell r="C108" t="str">
            <v/>
          </cell>
          <cell r="D108"/>
          <cell r="E108"/>
          <cell r="F108" t="str">
            <v/>
          </cell>
          <cell r="G108"/>
          <cell r="H108" t="str">
            <v/>
          </cell>
          <cell r="I108" t="str">
            <v/>
          </cell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 t="str">
            <v/>
          </cell>
          <cell r="U108" t="str">
            <v/>
          </cell>
        </row>
        <row r="109">
          <cell r="C109" t="str">
            <v/>
          </cell>
          <cell r="D109"/>
          <cell r="E109"/>
          <cell r="F109" t="str">
            <v/>
          </cell>
          <cell r="G109"/>
          <cell r="H109" t="str">
            <v/>
          </cell>
          <cell r="I109" t="str">
            <v/>
          </cell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 t="str">
            <v/>
          </cell>
          <cell r="U109" t="str">
            <v/>
          </cell>
        </row>
        <row r="110">
          <cell r="C110" t="str">
            <v/>
          </cell>
          <cell r="D110"/>
          <cell r="E110"/>
          <cell r="F110" t="str">
            <v/>
          </cell>
          <cell r="G110"/>
          <cell r="H110" t="str">
            <v/>
          </cell>
          <cell r="I110" t="str">
            <v/>
          </cell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 t="str">
            <v/>
          </cell>
          <cell r="U110" t="str">
            <v/>
          </cell>
        </row>
        <row r="111">
          <cell r="C111" t="str">
            <v/>
          </cell>
          <cell r="D111"/>
          <cell r="E111"/>
          <cell r="F111" t="str">
            <v/>
          </cell>
          <cell r="G111"/>
          <cell r="H111" t="str">
            <v/>
          </cell>
          <cell r="I111" t="str">
            <v/>
          </cell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 t="str">
            <v/>
          </cell>
          <cell r="U111" t="str">
            <v/>
          </cell>
        </row>
        <row r="112">
          <cell r="C112" t="str">
            <v/>
          </cell>
          <cell r="D112"/>
          <cell r="E112"/>
          <cell r="F112" t="str">
            <v/>
          </cell>
          <cell r="G112"/>
          <cell r="H112" t="str">
            <v/>
          </cell>
          <cell r="I112" t="str">
            <v/>
          </cell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 t="str">
            <v/>
          </cell>
          <cell r="U112" t="str">
            <v/>
          </cell>
        </row>
        <row r="113">
          <cell r="C113" t="str">
            <v/>
          </cell>
          <cell r="D113"/>
          <cell r="E113"/>
          <cell r="F113" t="str">
            <v/>
          </cell>
          <cell r="G113"/>
          <cell r="H113" t="str">
            <v/>
          </cell>
          <cell r="I113" t="str">
            <v/>
          </cell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 t="str">
            <v/>
          </cell>
          <cell r="U113" t="str">
            <v/>
          </cell>
        </row>
        <row r="114">
          <cell r="C114" t="str">
            <v/>
          </cell>
          <cell r="D114"/>
          <cell r="E114"/>
          <cell r="F114" t="str">
            <v/>
          </cell>
          <cell r="G114"/>
          <cell r="H114" t="str">
            <v/>
          </cell>
          <cell r="I114" t="str">
            <v/>
          </cell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 t="str">
            <v/>
          </cell>
          <cell r="U114" t="str">
            <v/>
          </cell>
        </row>
        <row r="115">
          <cell r="C115" t="str">
            <v/>
          </cell>
          <cell r="D115"/>
          <cell r="E115"/>
          <cell r="F115" t="str">
            <v/>
          </cell>
          <cell r="G115"/>
          <cell r="H115" t="str">
            <v/>
          </cell>
          <cell r="I115" t="str">
            <v/>
          </cell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 t="str">
            <v/>
          </cell>
          <cell r="U115" t="str">
            <v/>
          </cell>
        </row>
      </sheetData>
      <sheetData sheetId="3">
        <row r="15">
          <cell r="C15" t="str">
            <v/>
          </cell>
          <cell r="D15"/>
          <cell r="E15"/>
          <cell r="F15" t="str">
            <v/>
          </cell>
          <cell r="G15"/>
          <cell r="H15" t="str">
            <v/>
          </cell>
          <cell r="I15" t="str">
            <v/>
          </cell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 t="str">
            <v/>
          </cell>
        </row>
        <row r="16">
          <cell r="C16" t="str">
            <v/>
          </cell>
          <cell r="D16"/>
          <cell r="E16"/>
          <cell r="F16" t="str">
            <v/>
          </cell>
          <cell r="G16"/>
          <cell r="H16" t="str">
            <v/>
          </cell>
          <cell r="I16" t="str">
            <v/>
          </cell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 t="str">
            <v/>
          </cell>
          <cell r="U16" t="str">
            <v/>
          </cell>
        </row>
        <row r="17">
          <cell r="C17" t="str">
            <v/>
          </cell>
          <cell r="D17"/>
          <cell r="E17"/>
          <cell r="F17" t="str">
            <v/>
          </cell>
          <cell r="G17"/>
          <cell r="H17" t="str">
            <v/>
          </cell>
          <cell r="I17" t="str">
            <v/>
          </cell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 t="str">
            <v/>
          </cell>
          <cell r="U17" t="str">
            <v/>
          </cell>
        </row>
        <row r="18">
          <cell r="C18" t="str">
            <v/>
          </cell>
          <cell r="D18"/>
          <cell r="E18"/>
          <cell r="F18" t="str">
            <v/>
          </cell>
          <cell r="G18"/>
          <cell r="H18" t="str">
            <v/>
          </cell>
          <cell r="I18" t="str">
            <v/>
          </cell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 t="str">
            <v/>
          </cell>
          <cell r="U18" t="str">
            <v/>
          </cell>
        </row>
        <row r="19">
          <cell r="C19" t="str">
            <v/>
          </cell>
          <cell r="D19"/>
          <cell r="E19"/>
          <cell r="F19" t="str">
            <v/>
          </cell>
          <cell r="G19"/>
          <cell r="H19" t="str">
            <v/>
          </cell>
          <cell r="I19" t="str">
            <v/>
          </cell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 t="str">
            <v/>
          </cell>
          <cell r="U19" t="str">
            <v/>
          </cell>
        </row>
        <row r="20">
          <cell r="C20" t="str">
            <v/>
          </cell>
          <cell r="D20"/>
          <cell r="E20"/>
          <cell r="F20" t="str">
            <v/>
          </cell>
          <cell r="G20"/>
          <cell r="H20" t="str">
            <v/>
          </cell>
          <cell r="I20" t="str">
            <v/>
          </cell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 t="str">
            <v/>
          </cell>
          <cell r="U20" t="str">
            <v/>
          </cell>
        </row>
        <row r="21">
          <cell r="C21" t="str">
            <v/>
          </cell>
          <cell r="D21"/>
          <cell r="E21"/>
          <cell r="F21" t="str">
            <v/>
          </cell>
          <cell r="G21"/>
          <cell r="H21" t="str">
            <v/>
          </cell>
          <cell r="I21" t="str">
            <v/>
          </cell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 t="str">
            <v/>
          </cell>
          <cell r="U21" t="str">
            <v/>
          </cell>
        </row>
        <row r="22">
          <cell r="C22" t="str">
            <v/>
          </cell>
          <cell r="D22"/>
          <cell r="E22"/>
          <cell r="F22" t="str">
            <v/>
          </cell>
          <cell r="G22"/>
          <cell r="H22" t="str">
            <v/>
          </cell>
          <cell r="I22" t="str">
            <v/>
          </cell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 t="str">
            <v/>
          </cell>
          <cell r="U22" t="str">
            <v/>
          </cell>
        </row>
        <row r="23">
          <cell r="C23" t="str">
            <v/>
          </cell>
          <cell r="D23"/>
          <cell r="E23"/>
          <cell r="F23" t="str">
            <v/>
          </cell>
          <cell r="G23"/>
          <cell r="H23" t="str">
            <v/>
          </cell>
          <cell r="I23" t="str">
            <v/>
          </cell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 t="str">
            <v/>
          </cell>
          <cell r="U23" t="str">
            <v/>
          </cell>
        </row>
        <row r="24">
          <cell r="C24" t="str">
            <v/>
          </cell>
          <cell r="D24"/>
          <cell r="E24"/>
          <cell r="F24" t="str">
            <v/>
          </cell>
          <cell r="G24"/>
          <cell r="H24" t="str">
            <v/>
          </cell>
          <cell r="I24" t="str">
            <v/>
          </cell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 t="str">
            <v/>
          </cell>
          <cell r="U24" t="str">
            <v/>
          </cell>
        </row>
        <row r="25">
          <cell r="C25" t="str">
            <v/>
          </cell>
          <cell r="D25"/>
          <cell r="E25"/>
          <cell r="F25" t="str">
            <v/>
          </cell>
          <cell r="G25"/>
          <cell r="H25" t="str">
            <v/>
          </cell>
          <cell r="I25" t="str">
            <v/>
          </cell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 t="str">
            <v/>
          </cell>
          <cell r="U25" t="str">
            <v/>
          </cell>
        </row>
        <row r="26">
          <cell r="C26" t="str">
            <v/>
          </cell>
          <cell r="D26"/>
          <cell r="E26"/>
          <cell r="F26" t="str">
            <v/>
          </cell>
          <cell r="G26"/>
          <cell r="H26" t="str">
            <v/>
          </cell>
          <cell r="I26" t="str">
            <v/>
          </cell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 t="str">
            <v/>
          </cell>
          <cell r="U26" t="str">
            <v/>
          </cell>
        </row>
        <row r="27">
          <cell r="C27" t="str">
            <v/>
          </cell>
          <cell r="D27"/>
          <cell r="E27"/>
          <cell r="F27" t="str">
            <v/>
          </cell>
          <cell r="G27"/>
          <cell r="H27" t="str">
            <v/>
          </cell>
          <cell r="I27" t="str">
            <v/>
          </cell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 t="str">
            <v/>
          </cell>
          <cell r="U27" t="str">
            <v/>
          </cell>
        </row>
        <row r="28">
          <cell r="C28" t="str">
            <v/>
          </cell>
          <cell r="D28"/>
          <cell r="E28"/>
          <cell r="F28" t="str">
            <v/>
          </cell>
          <cell r="G28"/>
          <cell r="H28" t="str">
            <v/>
          </cell>
          <cell r="I28" t="str">
            <v/>
          </cell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 t="str">
            <v/>
          </cell>
          <cell r="U28" t="str">
            <v/>
          </cell>
        </row>
        <row r="29">
          <cell r="C29" t="str">
            <v/>
          </cell>
          <cell r="D29"/>
          <cell r="E29"/>
          <cell r="F29" t="str">
            <v/>
          </cell>
          <cell r="G29"/>
          <cell r="H29" t="str">
            <v/>
          </cell>
          <cell r="I29" t="str">
            <v/>
          </cell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 t="str">
            <v/>
          </cell>
          <cell r="U29" t="str">
            <v/>
          </cell>
        </row>
        <row r="30">
          <cell r="C30" t="str">
            <v/>
          </cell>
          <cell r="D30"/>
          <cell r="E30"/>
          <cell r="F30" t="str">
            <v/>
          </cell>
          <cell r="G30"/>
          <cell r="H30" t="str">
            <v/>
          </cell>
          <cell r="I30" t="str">
            <v/>
          </cell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 t="str">
            <v/>
          </cell>
          <cell r="U30" t="str">
            <v/>
          </cell>
        </row>
        <row r="31">
          <cell r="C31" t="str">
            <v/>
          </cell>
          <cell r="D31"/>
          <cell r="E31"/>
          <cell r="F31" t="str">
            <v/>
          </cell>
          <cell r="G31"/>
          <cell r="H31" t="str">
            <v/>
          </cell>
          <cell r="I31" t="str">
            <v/>
          </cell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 t="str">
            <v/>
          </cell>
          <cell r="U31" t="str">
            <v/>
          </cell>
        </row>
        <row r="32">
          <cell r="C32" t="str">
            <v/>
          </cell>
          <cell r="D32"/>
          <cell r="E32"/>
          <cell r="F32" t="str">
            <v/>
          </cell>
          <cell r="G32"/>
          <cell r="H32" t="str">
            <v/>
          </cell>
          <cell r="I32" t="str">
            <v/>
          </cell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 t="str">
            <v/>
          </cell>
          <cell r="U32" t="str">
            <v/>
          </cell>
        </row>
        <row r="33">
          <cell r="C33" t="str">
            <v/>
          </cell>
          <cell r="D33"/>
          <cell r="E33"/>
          <cell r="F33" t="str">
            <v/>
          </cell>
          <cell r="G33"/>
          <cell r="H33" t="str">
            <v/>
          </cell>
          <cell r="I33" t="str">
            <v/>
          </cell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 t="str">
            <v/>
          </cell>
          <cell r="U33" t="str">
            <v/>
          </cell>
        </row>
        <row r="34">
          <cell r="C34" t="str">
            <v/>
          </cell>
          <cell r="D34"/>
          <cell r="E34"/>
          <cell r="F34" t="str">
            <v/>
          </cell>
          <cell r="G34"/>
          <cell r="H34" t="str">
            <v/>
          </cell>
          <cell r="I34" t="str">
            <v/>
          </cell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 t="str">
            <v/>
          </cell>
          <cell r="U34" t="str">
            <v/>
          </cell>
        </row>
        <row r="35">
          <cell r="C35" t="str">
            <v/>
          </cell>
          <cell r="D35"/>
          <cell r="E35"/>
          <cell r="F35" t="str">
            <v/>
          </cell>
          <cell r="G35"/>
          <cell r="H35" t="str">
            <v/>
          </cell>
          <cell r="I35" t="str">
            <v/>
          </cell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 t="str">
            <v/>
          </cell>
          <cell r="U35" t="str">
            <v/>
          </cell>
        </row>
        <row r="36">
          <cell r="C36" t="str">
            <v/>
          </cell>
          <cell r="D36"/>
          <cell r="E36"/>
          <cell r="F36" t="str">
            <v/>
          </cell>
          <cell r="G36"/>
          <cell r="H36" t="str">
            <v/>
          </cell>
          <cell r="I36" t="str">
            <v/>
          </cell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 t="str">
            <v/>
          </cell>
          <cell r="U36" t="str">
            <v/>
          </cell>
        </row>
        <row r="37">
          <cell r="C37" t="str">
            <v/>
          </cell>
          <cell r="D37"/>
          <cell r="E37"/>
          <cell r="F37" t="str">
            <v/>
          </cell>
          <cell r="G37"/>
          <cell r="H37" t="str">
            <v/>
          </cell>
          <cell r="I37" t="str">
            <v/>
          </cell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 t="str">
            <v/>
          </cell>
          <cell r="U37" t="str">
            <v/>
          </cell>
        </row>
        <row r="38">
          <cell r="C38" t="str">
            <v/>
          </cell>
          <cell r="D38"/>
          <cell r="E38"/>
          <cell r="F38" t="str">
            <v/>
          </cell>
          <cell r="G38"/>
          <cell r="H38" t="str">
            <v/>
          </cell>
          <cell r="I38" t="str">
            <v/>
          </cell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 t="str">
            <v/>
          </cell>
          <cell r="U38" t="str">
            <v/>
          </cell>
        </row>
        <row r="39">
          <cell r="C39" t="str">
            <v/>
          </cell>
          <cell r="D39"/>
          <cell r="E39"/>
          <cell r="F39" t="str">
            <v/>
          </cell>
          <cell r="G39"/>
          <cell r="H39" t="str">
            <v/>
          </cell>
          <cell r="I39" t="str">
            <v/>
          </cell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 t="str">
            <v/>
          </cell>
          <cell r="U39" t="str">
            <v/>
          </cell>
        </row>
        <row r="40">
          <cell r="C40" t="str">
            <v/>
          </cell>
          <cell r="D40"/>
          <cell r="E40"/>
          <cell r="F40" t="str">
            <v/>
          </cell>
          <cell r="G40"/>
          <cell r="H40" t="str">
            <v/>
          </cell>
          <cell r="I40" t="str">
            <v/>
          </cell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 t="str">
            <v/>
          </cell>
          <cell r="U40" t="str">
            <v/>
          </cell>
        </row>
        <row r="41">
          <cell r="C41" t="str">
            <v/>
          </cell>
          <cell r="D41"/>
          <cell r="E41"/>
          <cell r="F41" t="str">
            <v/>
          </cell>
          <cell r="G41"/>
          <cell r="H41" t="str">
            <v/>
          </cell>
          <cell r="I41" t="str">
            <v/>
          </cell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 t="str">
            <v/>
          </cell>
          <cell r="U41" t="str">
            <v/>
          </cell>
        </row>
        <row r="42">
          <cell r="C42" t="str">
            <v/>
          </cell>
          <cell r="D42"/>
          <cell r="E42"/>
          <cell r="F42" t="str">
            <v/>
          </cell>
          <cell r="G42"/>
          <cell r="H42" t="str">
            <v/>
          </cell>
          <cell r="I42" t="str">
            <v/>
          </cell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 t="str">
            <v/>
          </cell>
          <cell r="U42" t="str">
            <v/>
          </cell>
        </row>
        <row r="43">
          <cell r="C43" t="str">
            <v/>
          </cell>
          <cell r="D43"/>
          <cell r="E43"/>
          <cell r="F43" t="str">
            <v/>
          </cell>
          <cell r="G43"/>
          <cell r="H43" t="str">
            <v/>
          </cell>
          <cell r="I43" t="str">
            <v/>
          </cell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 t="str">
            <v/>
          </cell>
          <cell r="U43" t="str">
            <v/>
          </cell>
        </row>
        <row r="44">
          <cell r="C44" t="str">
            <v/>
          </cell>
          <cell r="D44"/>
          <cell r="E44"/>
          <cell r="F44" t="str">
            <v/>
          </cell>
          <cell r="G44"/>
          <cell r="H44" t="str">
            <v/>
          </cell>
          <cell r="I44" t="str">
            <v/>
          </cell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 t="str">
            <v/>
          </cell>
          <cell r="U44" t="str">
            <v/>
          </cell>
        </row>
        <row r="45">
          <cell r="C45" t="str">
            <v/>
          </cell>
          <cell r="D45"/>
          <cell r="E45"/>
          <cell r="F45" t="str">
            <v/>
          </cell>
          <cell r="G45"/>
          <cell r="H45" t="str">
            <v/>
          </cell>
          <cell r="I45" t="str">
            <v/>
          </cell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 t="str">
            <v/>
          </cell>
          <cell r="U45" t="str">
            <v/>
          </cell>
        </row>
        <row r="46">
          <cell r="C46" t="str">
            <v/>
          </cell>
          <cell r="D46"/>
          <cell r="E46"/>
          <cell r="F46" t="str">
            <v/>
          </cell>
          <cell r="G46"/>
          <cell r="H46" t="str">
            <v/>
          </cell>
          <cell r="I46" t="str">
            <v/>
          </cell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 t="str">
            <v/>
          </cell>
          <cell r="U46" t="str">
            <v/>
          </cell>
        </row>
        <row r="47">
          <cell r="C47" t="str">
            <v/>
          </cell>
          <cell r="D47"/>
          <cell r="E47"/>
          <cell r="F47" t="str">
            <v/>
          </cell>
          <cell r="G47"/>
          <cell r="H47" t="str">
            <v/>
          </cell>
          <cell r="I47" t="str">
            <v/>
          </cell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 t="str">
            <v/>
          </cell>
          <cell r="U47" t="str">
            <v/>
          </cell>
        </row>
        <row r="48">
          <cell r="C48" t="str">
            <v/>
          </cell>
          <cell r="D48"/>
          <cell r="E48"/>
          <cell r="F48" t="str">
            <v/>
          </cell>
          <cell r="G48"/>
          <cell r="H48" t="str">
            <v/>
          </cell>
          <cell r="I48" t="str">
            <v/>
          </cell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 t="str">
            <v/>
          </cell>
          <cell r="U48" t="str">
            <v/>
          </cell>
        </row>
        <row r="49">
          <cell r="C49" t="str">
            <v/>
          </cell>
          <cell r="D49"/>
          <cell r="E49"/>
          <cell r="F49" t="str">
            <v/>
          </cell>
          <cell r="G49"/>
          <cell r="H49" t="str">
            <v/>
          </cell>
          <cell r="I49" t="str">
            <v/>
          </cell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 t="str">
            <v/>
          </cell>
          <cell r="U49" t="str">
            <v/>
          </cell>
        </row>
        <row r="50">
          <cell r="C50" t="str">
            <v/>
          </cell>
          <cell r="D50"/>
          <cell r="E50"/>
          <cell r="F50" t="str">
            <v/>
          </cell>
          <cell r="G50"/>
          <cell r="H50" t="str">
            <v/>
          </cell>
          <cell r="I50" t="str">
            <v/>
          </cell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 t="str">
            <v/>
          </cell>
          <cell r="U50" t="str">
            <v/>
          </cell>
        </row>
        <row r="51">
          <cell r="C51" t="str">
            <v/>
          </cell>
          <cell r="D51"/>
          <cell r="E51"/>
          <cell r="F51" t="str">
            <v/>
          </cell>
          <cell r="G51"/>
          <cell r="H51" t="str">
            <v/>
          </cell>
          <cell r="I51" t="str">
            <v/>
          </cell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 t="str">
            <v/>
          </cell>
          <cell r="U51" t="str">
            <v/>
          </cell>
        </row>
        <row r="52">
          <cell r="C52" t="str">
            <v/>
          </cell>
          <cell r="D52"/>
          <cell r="E52"/>
          <cell r="F52" t="str">
            <v/>
          </cell>
          <cell r="G52"/>
          <cell r="H52" t="str">
            <v/>
          </cell>
          <cell r="I52" t="str">
            <v/>
          </cell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 t="str">
            <v/>
          </cell>
          <cell r="U52" t="str">
            <v/>
          </cell>
        </row>
        <row r="53">
          <cell r="C53" t="str">
            <v/>
          </cell>
          <cell r="D53"/>
          <cell r="E53"/>
          <cell r="F53" t="str">
            <v/>
          </cell>
          <cell r="G53"/>
          <cell r="H53" t="str">
            <v/>
          </cell>
          <cell r="I53" t="str">
            <v/>
          </cell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 t="str">
            <v/>
          </cell>
          <cell r="U53" t="str">
            <v/>
          </cell>
        </row>
        <row r="54">
          <cell r="C54" t="str">
            <v/>
          </cell>
          <cell r="D54"/>
          <cell r="E54"/>
          <cell r="F54" t="str">
            <v/>
          </cell>
          <cell r="G54"/>
          <cell r="H54" t="str">
            <v/>
          </cell>
          <cell r="I54" t="str">
            <v/>
          </cell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 t="str">
            <v/>
          </cell>
          <cell r="U54" t="str">
            <v/>
          </cell>
        </row>
        <row r="55">
          <cell r="C55" t="str">
            <v/>
          </cell>
          <cell r="D55"/>
          <cell r="E55"/>
          <cell r="F55" t="str">
            <v/>
          </cell>
          <cell r="G55"/>
          <cell r="H55" t="str">
            <v/>
          </cell>
          <cell r="I55" t="str">
            <v/>
          </cell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 t="str">
            <v/>
          </cell>
          <cell r="U55" t="str">
            <v/>
          </cell>
        </row>
        <row r="56">
          <cell r="C56" t="str">
            <v/>
          </cell>
          <cell r="D56"/>
          <cell r="E56"/>
          <cell r="F56" t="str">
            <v/>
          </cell>
          <cell r="G56"/>
          <cell r="H56" t="str">
            <v/>
          </cell>
          <cell r="I56" t="str">
            <v/>
          </cell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 t="str">
            <v/>
          </cell>
          <cell r="U56" t="str">
            <v/>
          </cell>
        </row>
        <row r="57">
          <cell r="C57" t="str">
            <v/>
          </cell>
          <cell r="D57"/>
          <cell r="E57"/>
          <cell r="F57" t="str">
            <v/>
          </cell>
          <cell r="G57"/>
          <cell r="H57" t="str">
            <v/>
          </cell>
          <cell r="I57" t="str">
            <v/>
          </cell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 t="str">
            <v/>
          </cell>
          <cell r="U57" t="str">
            <v/>
          </cell>
        </row>
        <row r="58">
          <cell r="C58" t="str">
            <v/>
          </cell>
          <cell r="D58"/>
          <cell r="E58"/>
          <cell r="F58" t="str">
            <v/>
          </cell>
          <cell r="G58"/>
          <cell r="H58" t="str">
            <v/>
          </cell>
          <cell r="I58" t="str">
            <v/>
          </cell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 t="str">
            <v/>
          </cell>
          <cell r="U58" t="str">
            <v/>
          </cell>
        </row>
        <row r="59">
          <cell r="C59" t="str">
            <v/>
          </cell>
          <cell r="D59"/>
          <cell r="E59"/>
          <cell r="F59" t="str">
            <v/>
          </cell>
          <cell r="G59"/>
          <cell r="H59" t="str">
            <v/>
          </cell>
          <cell r="I59" t="str">
            <v/>
          </cell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 t="str">
            <v/>
          </cell>
          <cell r="U59" t="str">
            <v/>
          </cell>
        </row>
        <row r="60">
          <cell r="C60" t="str">
            <v/>
          </cell>
          <cell r="D60"/>
          <cell r="E60"/>
          <cell r="F60" t="str">
            <v/>
          </cell>
          <cell r="G60"/>
          <cell r="H60" t="str">
            <v/>
          </cell>
          <cell r="I60" t="str">
            <v/>
          </cell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 t="str">
            <v/>
          </cell>
          <cell r="U60" t="str">
            <v/>
          </cell>
        </row>
        <row r="61">
          <cell r="C61" t="str">
            <v/>
          </cell>
          <cell r="D61"/>
          <cell r="E61"/>
          <cell r="F61" t="str">
            <v/>
          </cell>
          <cell r="G61"/>
          <cell r="H61" t="str">
            <v/>
          </cell>
          <cell r="I61" t="str">
            <v/>
          </cell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 t="str">
            <v/>
          </cell>
          <cell r="U61" t="str">
            <v/>
          </cell>
        </row>
        <row r="62">
          <cell r="C62" t="str">
            <v/>
          </cell>
          <cell r="D62"/>
          <cell r="E62"/>
          <cell r="F62" t="str">
            <v/>
          </cell>
          <cell r="G62"/>
          <cell r="H62" t="str">
            <v/>
          </cell>
          <cell r="I62" t="str">
            <v/>
          </cell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 t="str">
            <v/>
          </cell>
          <cell r="U62" t="str">
            <v/>
          </cell>
        </row>
        <row r="63">
          <cell r="C63" t="str">
            <v/>
          </cell>
          <cell r="D63"/>
          <cell r="E63"/>
          <cell r="F63" t="str">
            <v/>
          </cell>
          <cell r="G63"/>
          <cell r="H63" t="str">
            <v/>
          </cell>
          <cell r="I63" t="str">
            <v/>
          </cell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 t="str">
            <v/>
          </cell>
          <cell r="U63" t="str">
            <v/>
          </cell>
        </row>
        <row r="64">
          <cell r="C64" t="str">
            <v/>
          </cell>
          <cell r="D64"/>
          <cell r="E64"/>
          <cell r="F64" t="str">
            <v/>
          </cell>
          <cell r="G64"/>
          <cell r="H64" t="str">
            <v/>
          </cell>
          <cell r="I64" t="str">
            <v/>
          </cell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 t="str">
            <v/>
          </cell>
          <cell r="U64" t="str">
            <v/>
          </cell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</row>
        <row r="66">
          <cell r="C66" t="str">
            <v/>
          </cell>
          <cell r="D66"/>
          <cell r="E66"/>
          <cell r="F66" t="str">
            <v/>
          </cell>
          <cell r="G66"/>
          <cell r="H66" t="str">
            <v/>
          </cell>
          <cell r="I66" t="str">
            <v/>
          </cell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 t="str">
            <v/>
          </cell>
          <cell r="U66" t="str">
            <v/>
          </cell>
        </row>
        <row r="67">
          <cell r="C67" t="str">
            <v/>
          </cell>
          <cell r="D67"/>
          <cell r="E67"/>
          <cell r="F67" t="str">
            <v/>
          </cell>
          <cell r="G67"/>
          <cell r="H67" t="str">
            <v/>
          </cell>
          <cell r="I67" t="str">
            <v/>
          </cell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 t="str">
            <v/>
          </cell>
          <cell r="U67" t="str">
            <v/>
          </cell>
        </row>
        <row r="68">
          <cell r="C68" t="str">
            <v/>
          </cell>
          <cell r="D68"/>
          <cell r="E68"/>
          <cell r="F68" t="str">
            <v/>
          </cell>
          <cell r="G68"/>
          <cell r="H68" t="str">
            <v/>
          </cell>
          <cell r="I68" t="str">
            <v/>
          </cell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 t="str">
            <v/>
          </cell>
          <cell r="U68" t="str">
            <v/>
          </cell>
        </row>
        <row r="69">
          <cell r="C69" t="str">
            <v/>
          </cell>
          <cell r="D69"/>
          <cell r="E69"/>
          <cell r="F69" t="str">
            <v/>
          </cell>
          <cell r="G69"/>
          <cell r="H69" t="str">
            <v/>
          </cell>
          <cell r="I69" t="str">
            <v/>
          </cell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 t="str">
            <v/>
          </cell>
          <cell r="U69" t="str">
            <v/>
          </cell>
        </row>
        <row r="70">
          <cell r="C70" t="str">
            <v/>
          </cell>
          <cell r="D70"/>
          <cell r="E70"/>
          <cell r="F70" t="str">
            <v/>
          </cell>
          <cell r="G70"/>
          <cell r="H70" t="str">
            <v/>
          </cell>
          <cell r="I70" t="str">
            <v/>
          </cell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 t="str">
            <v/>
          </cell>
          <cell r="U70" t="str">
            <v/>
          </cell>
        </row>
        <row r="71">
          <cell r="C71" t="str">
            <v/>
          </cell>
          <cell r="D71"/>
          <cell r="E71"/>
          <cell r="F71" t="str">
            <v/>
          </cell>
          <cell r="G71"/>
          <cell r="H71" t="str">
            <v/>
          </cell>
          <cell r="I71" t="str">
            <v/>
          </cell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 t="str">
            <v/>
          </cell>
          <cell r="U71" t="str">
            <v/>
          </cell>
        </row>
        <row r="72">
          <cell r="C72" t="str">
            <v/>
          </cell>
          <cell r="D72"/>
          <cell r="E72"/>
          <cell r="F72" t="str">
            <v/>
          </cell>
          <cell r="G72"/>
          <cell r="H72" t="str">
            <v/>
          </cell>
          <cell r="I72" t="str">
            <v/>
          </cell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 t="str">
            <v/>
          </cell>
          <cell r="U72" t="str">
            <v/>
          </cell>
        </row>
        <row r="73">
          <cell r="C73" t="str">
            <v/>
          </cell>
          <cell r="D73"/>
          <cell r="E73"/>
          <cell r="F73" t="str">
            <v/>
          </cell>
          <cell r="G73"/>
          <cell r="H73" t="str">
            <v/>
          </cell>
          <cell r="I73" t="str">
            <v/>
          </cell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 t="str">
            <v/>
          </cell>
          <cell r="U73" t="str">
            <v/>
          </cell>
        </row>
        <row r="74">
          <cell r="C74" t="str">
            <v/>
          </cell>
          <cell r="D74"/>
          <cell r="E74"/>
          <cell r="F74" t="str">
            <v/>
          </cell>
          <cell r="G74"/>
          <cell r="H74" t="str">
            <v/>
          </cell>
          <cell r="I74" t="str">
            <v/>
          </cell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 t="str">
            <v/>
          </cell>
          <cell r="U74" t="str">
            <v/>
          </cell>
        </row>
        <row r="75">
          <cell r="C75" t="str">
            <v/>
          </cell>
          <cell r="D75"/>
          <cell r="E75"/>
          <cell r="F75" t="str">
            <v/>
          </cell>
          <cell r="G75"/>
          <cell r="H75" t="str">
            <v/>
          </cell>
          <cell r="I75" t="str">
            <v/>
          </cell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 t="str">
            <v/>
          </cell>
          <cell r="U75" t="str">
            <v/>
          </cell>
        </row>
        <row r="76">
          <cell r="C76" t="str">
            <v/>
          </cell>
          <cell r="D76"/>
          <cell r="E76"/>
          <cell r="F76" t="str">
            <v/>
          </cell>
          <cell r="G76"/>
          <cell r="H76" t="str">
            <v/>
          </cell>
          <cell r="I76" t="str">
            <v/>
          </cell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 t="str">
            <v/>
          </cell>
          <cell r="U76" t="str">
            <v/>
          </cell>
        </row>
        <row r="77">
          <cell r="C77" t="str">
            <v/>
          </cell>
          <cell r="D77"/>
          <cell r="E77"/>
          <cell r="F77" t="str">
            <v/>
          </cell>
          <cell r="G77"/>
          <cell r="H77" t="str">
            <v/>
          </cell>
          <cell r="I77" t="str">
            <v/>
          </cell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 t="str">
            <v/>
          </cell>
          <cell r="U77" t="str">
            <v/>
          </cell>
        </row>
        <row r="78">
          <cell r="C78" t="str">
            <v/>
          </cell>
          <cell r="D78"/>
          <cell r="E78"/>
          <cell r="F78" t="str">
            <v/>
          </cell>
          <cell r="G78"/>
          <cell r="H78" t="str">
            <v/>
          </cell>
          <cell r="I78" t="str">
            <v/>
          </cell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 t="str">
            <v/>
          </cell>
          <cell r="U78" t="str">
            <v/>
          </cell>
        </row>
        <row r="79">
          <cell r="C79" t="str">
            <v/>
          </cell>
          <cell r="D79"/>
          <cell r="E79"/>
          <cell r="F79" t="str">
            <v/>
          </cell>
          <cell r="G79"/>
          <cell r="H79" t="str">
            <v/>
          </cell>
          <cell r="I79" t="str">
            <v/>
          </cell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 t="str">
            <v/>
          </cell>
          <cell r="U79" t="str">
            <v/>
          </cell>
        </row>
        <row r="80">
          <cell r="C80" t="str">
            <v/>
          </cell>
          <cell r="D80"/>
          <cell r="E80"/>
          <cell r="F80" t="str">
            <v/>
          </cell>
          <cell r="G80"/>
          <cell r="H80" t="str">
            <v/>
          </cell>
          <cell r="I80" t="str">
            <v/>
          </cell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 t="str">
            <v/>
          </cell>
          <cell r="U80" t="str">
            <v/>
          </cell>
        </row>
        <row r="81">
          <cell r="C81" t="str">
            <v/>
          </cell>
          <cell r="D81"/>
          <cell r="E81"/>
          <cell r="F81" t="str">
            <v/>
          </cell>
          <cell r="G81"/>
          <cell r="H81" t="str">
            <v/>
          </cell>
          <cell r="I81" t="str">
            <v/>
          </cell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 t="str">
            <v/>
          </cell>
          <cell r="U81" t="str">
            <v/>
          </cell>
        </row>
        <row r="82">
          <cell r="C82" t="str">
            <v/>
          </cell>
          <cell r="D82"/>
          <cell r="E82"/>
          <cell r="F82" t="str">
            <v/>
          </cell>
          <cell r="G82"/>
          <cell r="H82" t="str">
            <v/>
          </cell>
          <cell r="I82" t="str">
            <v/>
          </cell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 t="str">
            <v/>
          </cell>
          <cell r="U82" t="str">
            <v/>
          </cell>
        </row>
        <row r="83">
          <cell r="C83" t="str">
            <v/>
          </cell>
          <cell r="D83"/>
          <cell r="E83"/>
          <cell r="F83" t="str">
            <v/>
          </cell>
          <cell r="G83"/>
          <cell r="H83" t="str">
            <v/>
          </cell>
          <cell r="I83" t="str">
            <v/>
          </cell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 t="str">
            <v/>
          </cell>
          <cell r="U83" t="str">
            <v/>
          </cell>
        </row>
        <row r="84">
          <cell r="C84" t="str">
            <v/>
          </cell>
          <cell r="D84"/>
          <cell r="E84"/>
          <cell r="F84" t="str">
            <v/>
          </cell>
          <cell r="G84"/>
          <cell r="H84" t="str">
            <v/>
          </cell>
          <cell r="I84" t="str">
            <v/>
          </cell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 t="str">
            <v/>
          </cell>
          <cell r="U84" t="str">
            <v/>
          </cell>
        </row>
        <row r="85">
          <cell r="C85" t="str">
            <v/>
          </cell>
          <cell r="D85"/>
          <cell r="E85"/>
          <cell r="F85" t="str">
            <v/>
          </cell>
          <cell r="G85"/>
          <cell r="H85" t="str">
            <v/>
          </cell>
          <cell r="I85" t="str">
            <v/>
          </cell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 t="str">
            <v/>
          </cell>
          <cell r="U85" t="str">
            <v/>
          </cell>
        </row>
        <row r="86">
          <cell r="C86" t="str">
            <v/>
          </cell>
          <cell r="D86"/>
          <cell r="E86"/>
          <cell r="F86" t="str">
            <v/>
          </cell>
          <cell r="G86"/>
          <cell r="H86" t="str">
            <v/>
          </cell>
          <cell r="I86" t="str">
            <v/>
          </cell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 t="str">
            <v/>
          </cell>
          <cell r="U86" t="str">
            <v/>
          </cell>
        </row>
        <row r="87">
          <cell r="C87" t="str">
            <v/>
          </cell>
          <cell r="D87"/>
          <cell r="E87"/>
          <cell r="F87" t="str">
            <v/>
          </cell>
          <cell r="G87"/>
          <cell r="H87" t="str">
            <v/>
          </cell>
          <cell r="I87" t="str">
            <v/>
          </cell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 t="str">
            <v/>
          </cell>
          <cell r="U87" t="str">
            <v/>
          </cell>
        </row>
        <row r="88">
          <cell r="C88" t="str">
            <v/>
          </cell>
          <cell r="D88"/>
          <cell r="E88"/>
          <cell r="F88" t="str">
            <v/>
          </cell>
          <cell r="G88"/>
          <cell r="H88" t="str">
            <v/>
          </cell>
          <cell r="I88" t="str">
            <v/>
          </cell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 t="str">
            <v/>
          </cell>
          <cell r="U88" t="str">
            <v/>
          </cell>
        </row>
        <row r="89">
          <cell r="C89" t="str">
            <v/>
          </cell>
          <cell r="D89"/>
          <cell r="E89"/>
          <cell r="F89" t="str">
            <v/>
          </cell>
          <cell r="G89"/>
          <cell r="H89" t="str">
            <v/>
          </cell>
          <cell r="I89" t="str">
            <v/>
          </cell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 t="str">
            <v/>
          </cell>
          <cell r="U89" t="str">
            <v/>
          </cell>
        </row>
        <row r="90">
          <cell r="C90" t="str">
            <v/>
          </cell>
          <cell r="D90"/>
          <cell r="E90"/>
          <cell r="F90" t="str">
            <v/>
          </cell>
          <cell r="G90"/>
          <cell r="H90" t="str">
            <v/>
          </cell>
          <cell r="I90" t="str">
            <v/>
          </cell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 t="str">
            <v/>
          </cell>
          <cell r="U90" t="str">
            <v/>
          </cell>
        </row>
        <row r="91">
          <cell r="C91" t="str">
            <v/>
          </cell>
          <cell r="D91"/>
          <cell r="E91"/>
          <cell r="F91" t="str">
            <v/>
          </cell>
          <cell r="G91"/>
          <cell r="H91" t="str">
            <v/>
          </cell>
          <cell r="I91" t="str">
            <v/>
          </cell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 t="str">
            <v/>
          </cell>
          <cell r="U91" t="str">
            <v/>
          </cell>
        </row>
        <row r="92">
          <cell r="C92" t="str">
            <v/>
          </cell>
          <cell r="D92"/>
          <cell r="E92"/>
          <cell r="F92" t="str">
            <v/>
          </cell>
          <cell r="G92"/>
          <cell r="H92" t="str">
            <v/>
          </cell>
          <cell r="I92" t="str">
            <v/>
          </cell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 t="str">
            <v/>
          </cell>
          <cell r="U92" t="str">
            <v/>
          </cell>
        </row>
        <row r="93">
          <cell r="C93" t="str">
            <v/>
          </cell>
          <cell r="D93"/>
          <cell r="E93"/>
          <cell r="F93" t="str">
            <v/>
          </cell>
          <cell r="G93"/>
          <cell r="H93" t="str">
            <v/>
          </cell>
          <cell r="I93" t="str">
            <v/>
          </cell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 t="str">
            <v/>
          </cell>
          <cell r="U93" t="str">
            <v/>
          </cell>
        </row>
        <row r="94">
          <cell r="C94" t="str">
            <v/>
          </cell>
          <cell r="D94"/>
          <cell r="E94"/>
          <cell r="F94" t="str">
            <v/>
          </cell>
          <cell r="G94"/>
          <cell r="H94" t="str">
            <v/>
          </cell>
          <cell r="I94" t="str">
            <v/>
          </cell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 t="str">
            <v/>
          </cell>
          <cell r="U94" t="str">
            <v/>
          </cell>
        </row>
        <row r="95">
          <cell r="C95" t="str">
            <v/>
          </cell>
          <cell r="D95"/>
          <cell r="E95"/>
          <cell r="F95" t="str">
            <v/>
          </cell>
          <cell r="G95"/>
          <cell r="H95" t="str">
            <v/>
          </cell>
          <cell r="I95" t="str">
            <v/>
          </cell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 t="str">
            <v/>
          </cell>
          <cell r="U95" t="str">
            <v/>
          </cell>
        </row>
        <row r="96">
          <cell r="C96" t="str">
            <v/>
          </cell>
          <cell r="D96"/>
          <cell r="E96"/>
          <cell r="F96" t="str">
            <v/>
          </cell>
          <cell r="G96"/>
          <cell r="H96" t="str">
            <v/>
          </cell>
          <cell r="I96" t="str">
            <v/>
          </cell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 t="str">
            <v/>
          </cell>
          <cell r="U96" t="str">
            <v/>
          </cell>
        </row>
        <row r="97">
          <cell r="C97" t="str">
            <v/>
          </cell>
          <cell r="D97"/>
          <cell r="E97"/>
          <cell r="F97" t="str">
            <v/>
          </cell>
          <cell r="G97"/>
          <cell r="H97" t="str">
            <v/>
          </cell>
          <cell r="I97" t="str">
            <v/>
          </cell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 t="str">
            <v/>
          </cell>
          <cell r="U97" t="str">
            <v/>
          </cell>
        </row>
        <row r="98">
          <cell r="C98" t="str">
            <v/>
          </cell>
          <cell r="D98"/>
          <cell r="E98"/>
          <cell r="F98" t="str">
            <v/>
          </cell>
          <cell r="G98"/>
          <cell r="H98" t="str">
            <v/>
          </cell>
          <cell r="I98" t="str">
            <v/>
          </cell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 t="str">
            <v/>
          </cell>
          <cell r="U98" t="str">
            <v/>
          </cell>
        </row>
        <row r="99">
          <cell r="C99" t="str">
            <v/>
          </cell>
          <cell r="D99"/>
          <cell r="E99"/>
          <cell r="F99" t="str">
            <v/>
          </cell>
          <cell r="G99"/>
          <cell r="H99" t="str">
            <v/>
          </cell>
          <cell r="I99" t="str">
            <v/>
          </cell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 t="str">
            <v/>
          </cell>
          <cell r="U99" t="str">
            <v/>
          </cell>
        </row>
        <row r="100">
          <cell r="C100" t="str">
            <v/>
          </cell>
          <cell r="D100"/>
          <cell r="E100"/>
          <cell r="F100" t="str">
            <v/>
          </cell>
          <cell r="G100"/>
          <cell r="H100" t="str">
            <v/>
          </cell>
          <cell r="I100" t="str">
            <v/>
          </cell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 t="str">
            <v/>
          </cell>
          <cell r="U100" t="str">
            <v/>
          </cell>
        </row>
        <row r="101">
          <cell r="C101" t="str">
            <v/>
          </cell>
          <cell r="D101"/>
          <cell r="E101"/>
          <cell r="F101" t="str">
            <v/>
          </cell>
          <cell r="G101"/>
          <cell r="H101" t="str">
            <v/>
          </cell>
          <cell r="I101" t="str">
            <v/>
          </cell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 t="str">
            <v/>
          </cell>
          <cell r="U101" t="str">
            <v/>
          </cell>
        </row>
        <row r="102">
          <cell r="C102" t="str">
            <v/>
          </cell>
          <cell r="D102"/>
          <cell r="E102"/>
          <cell r="F102" t="str">
            <v/>
          </cell>
          <cell r="G102"/>
          <cell r="H102" t="str">
            <v/>
          </cell>
          <cell r="I102" t="str">
            <v/>
          </cell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 t="str">
            <v/>
          </cell>
          <cell r="U102" t="str">
            <v/>
          </cell>
        </row>
        <row r="103">
          <cell r="C103" t="str">
            <v/>
          </cell>
          <cell r="D103"/>
          <cell r="E103"/>
          <cell r="F103" t="str">
            <v/>
          </cell>
          <cell r="G103"/>
          <cell r="H103" t="str">
            <v/>
          </cell>
          <cell r="I103" t="str">
            <v/>
          </cell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 t="str">
            <v/>
          </cell>
          <cell r="U103" t="str">
            <v/>
          </cell>
        </row>
        <row r="104">
          <cell r="C104" t="str">
            <v/>
          </cell>
          <cell r="D104"/>
          <cell r="E104"/>
          <cell r="F104" t="str">
            <v/>
          </cell>
          <cell r="G104"/>
          <cell r="H104" t="str">
            <v/>
          </cell>
          <cell r="I104" t="str">
            <v/>
          </cell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 t="str">
            <v/>
          </cell>
          <cell r="U104" t="str">
            <v/>
          </cell>
        </row>
        <row r="105">
          <cell r="C105" t="str">
            <v/>
          </cell>
          <cell r="D105"/>
          <cell r="E105"/>
          <cell r="F105" t="str">
            <v/>
          </cell>
          <cell r="G105"/>
          <cell r="H105" t="str">
            <v/>
          </cell>
          <cell r="I105" t="str">
            <v/>
          </cell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 t="str">
            <v/>
          </cell>
          <cell r="U105" t="str">
            <v/>
          </cell>
        </row>
        <row r="106">
          <cell r="C106" t="str">
            <v/>
          </cell>
          <cell r="D106"/>
          <cell r="E106"/>
          <cell r="F106" t="str">
            <v/>
          </cell>
          <cell r="G106"/>
          <cell r="H106" t="str">
            <v/>
          </cell>
          <cell r="I106" t="str">
            <v/>
          </cell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 t="str">
            <v/>
          </cell>
          <cell r="U106" t="str">
            <v/>
          </cell>
        </row>
        <row r="107">
          <cell r="C107" t="str">
            <v/>
          </cell>
          <cell r="D107"/>
          <cell r="E107"/>
          <cell r="F107" t="str">
            <v/>
          </cell>
          <cell r="G107"/>
          <cell r="H107" t="str">
            <v/>
          </cell>
          <cell r="I107" t="str">
            <v/>
          </cell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 t="str">
            <v/>
          </cell>
          <cell r="U107" t="str">
            <v/>
          </cell>
        </row>
        <row r="108">
          <cell r="C108" t="str">
            <v/>
          </cell>
          <cell r="D108"/>
          <cell r="E108"/>
          <cell r="F108" t="str">
            <v/>
          </cell>
          <cell r="G108"/>
          <cell r="H108" t="str">
            <v/>
          </cell>
          <cell r="I108" t="str">
            <v/>
          </cell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 t="str">
            <v/>
          </cell>
          <cell r="U108" t="str">
            <v/>
          </cell>
        </row>
        <row r="109">
          <cell r="C109" t="str">
            <v/>
          </cell>
          <cell r="D109"/>
          <cell r="E109"/>
          <cell r="F109" t="str">
            <v/>
          </cell>
          <cell r="G109"/>
          <cell r="H109" t="str">
            <v/>
          </cell>
          <cell r="I109" t="str">
            <v/>
          </cell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 t="str">
            <v/>
          </cell>
          <cell r="U109" t="str">
            <v/>
          </cell>
        </row>
        <row r="110">
          <cell r="C110" t="str">
            <v/>
          </cell>
          <cell r="D110"/>
          <cell r="E110"/>
          <cell r="F110" t="str">
            <v/>
          </cell>
          <cell r="G110"/>
          <cell r="H110" t="str">
            <v/>
          </cell>
          <cell r="I110" t="str">
            <v/>
          </cell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 t="str">
            <v/>
          </cell>
          <cell r="U110" t="str">
            <v/>
          </cell>
        </row>
        <row r="111">
          <cell r="C111" t="str">
            <v/>
          </cell>
          <cell r="D111"/>
          <cell r="E111"/>
          <cell r="F111" t="str">
            <v/>
          </cell>
          <cell r="G111"/>
          <cell r="H111" t="str">
            <v/>
          </cell>
          <cell r="I111" t="str">
            <v/>
          </cell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 t="str">
            <v/>
          </cell>
          <cell r="U111" t="str">
            <v/>
          </cell>
        </row>
        <row r="112">
          <cell r="C112" t="str">
            <v/>
          </cell>
          <cell r="D112"/>
          <cell r="E112"/>
          <cell r="F112" t="str">
            <v/>
          </cell>
          <cell r="G112"/>
          <cell r="H112" t="str">
            <v/>
          </cell>
          <cell r="I112" t="str">
            <v/>
          </cell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 t="str">
            <v/>
          </cell>
          <cell r="U112" t="str">
            <v/>
          </cell>
        </row>
        <row r="113">
          <cell r="C113" t="str">
            <v/>
          </cell>
          <cell r="D113"/>
          <cell r="E113"/>
          <cell r="F113" t="str">
            <v/>
          </cell>
          <cell r="G113"/>
          <cell r="H113" t="str">
            <v/>
          </cell>
          <cell r="I113" t="str">
            <v/>
          </cell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 t="str">
            <v/>
          </cell>
          <cell r="U113" t="str">
            <v/>
          </cell>
        </row>
        <row r="114">
          <cell r="C114" t="str">
            <v/>
          </cell>
          <cell r="D114"/>
          <cell r="E114"/>
          <cell r="F114" t="str">
            <v/>
          </cell>
          <cell r="G114"/>
          <cell r="H114" t="str">
            <v/>
          </cell>
          <cell r="I114" t="str">
            <v/>
          </cell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 t="str">
            <v/>
          </cell>
          <cell r="U114" t="str">
            <v/>
          </cell>
        </row>
        <row r="115">
          <cell r="C115" t="str">
            <v/>
          </cell>
          <cell r="D115"/>
          <cell r="E115"/>
          <cell r="F115" t="str">
            <v/>
          </cell>
          <cell r="G115"/>
          <cell r="H115" t="str">
            <v/>
          </cell>
          <cell r="I115" t="str">
            <v/>
          </cell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 t="str">
            <v/>
          </cell>
          <cell r="U115" t="str">
            <v/>
          </cell>
        </row>
      </sheetData>
      <sheetData sheetId="4">
        <row r="15">
          <cell r="C15" t="str">
            <v/>
          </cell>
          <cell r="D15"/>
          <cell r="E15"/>
          <cell r="F15" t="str">
            <v/>
          </cell>
          <cell r="G15"/>
          <cell r="H15" t="str">
            <v/>
          </cell>
          <cell r="I15" t="str">
            <v/>
          </cell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 t="str">
            <v/>
          </cell>
          <cell r="U15" t="str">
            <v/>
          </cell>
        </row>
        <row r="16">
          <cell r="C16" t="str">
            <v/>
          </cell>
          <cell r="D16"/>
          <cell r="E16"/>
          <cell r="F16" t="str">
            <v/>
          </cell>
          <cell r="G16"/>
          <cell r="H16" t="str">
            <v/>
          </cell>
          <cell r="I16" t="str">
            <v/>
          </cell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 t="str">
            <v/>
          </cell>
          <cell r="U16" t="str">
            <v/>
          </cell>
        </row>
        <row r="17">
          <cell r="C17" t="str">
            <v/>
          </cell>
          <cell r="D17"/>
          <cell r="E17"/>
          <cell r="F17" t="str">
            <v/>
          </cell>
          <cell r="G17"/>
          <cell r="H17" t="str">
            <v/>
          </cell>
          <cell r="I17" t="str">
            <v/>
          </cell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 t="str">
            <v/>
          </cell>
          <cell r="U17" t="str">
            <v/>
          </cell>
        </row>
        <row r="18">
          <cell r="C18" t="str">
            <v/>
          </cell>
          <cell r="D18"/>
          <cell r="E18"/>
          <cell r="F18" t="str">
            <v/>
          </cell>
          <cell r="G18"/>
          <cell r="H18" t="str">
            <v/>
          </cell>
          <cell r="I18" t="str">
            <v/>
          </cell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 t="str">
            <v/>
          </cell>
          <cell r="U18" t="str">
            <v/>
          </cell>
        </row>
        <row r="19">
          <cell r="C19" t="str">
            <v/>
          </cell>
          <cell r="D19"/>
          <cell r="E19"/>
          <cell r="F19" t="str">
            <v/>
          </cell>
          <cell r="G19"/>
          <cell r="H19" t="str">
            <v/>
          </cell>
          <cell r="I19" t="str">
            <v/>
          </cell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 t="str">
            <v/>
          </cell>
          <cell r="U19" t="str">
            <v/>
          </cell>
        </row>
        <row r="20">
          <cell r="C20" t="str">
            <v/>
          </cell>
          <cell r="D20"/>
          <cell r="E20"/>
          <cell r="F20" t="str">
            <v/>
          </cell>
          <cell r="G20"/>
          <cell r="H20" t="str">
            <v/>
          </cell>
          <cell r="I20" t="str">
            <v/>
          </cell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 t="str">
            <v/>
          </cell>
          <cell r="U20" t="str">
            <v/>
          </cell>
        </row>
        <row r="21">
          <cell r="C21" t="str">
            <v/>
          </cell>
          <cell r="D21"/>
          <cell r="E21"/>
          <cell r="F21" t="str">
            <v/>
          </cell>
          <cell r="G21"/>
          <cell r="H21" t="str">
            <v/>
          </cell>
          <cell r="I21" t="str">
            <v/>
          </cell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 t="str">
            <v/>
          </cell>
          <cell r="U21" t="str">
            <v/>
          </cell>
        </row>
        <row r="22">
          <cell r="C22" t="str">
            <v/>
          </cell>
          <cell r="D22"/>
          <cell r="E22"/>
          <cell r="F22" t="str">
            <v/>
          </cell>
          <cell r="G22"/>
          <cell r="H22" t="str">
            <v/>
          </cell>
          <cell r="I22" t="str">
            <v/>
          </cell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 t="str">
            <v/>
          </cell>
          <cell r="U22" t="str">
            <v/>
          </cell>
        </row>
        <row r="23">
          <cell r="C23" t="str">
            <v/>
          </cell>
          <cell r="D23"/>
          <cell r="E23"/>
          <cell r="F23" t="str">
            <v/>
          </cell>
          <cell r="G23"/>
          <cell r="H23" t="str">
            <v/>
          </cell>
          <cell r="I23" t="str">
            <v/>
          </cell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 t="str">
            <v/>
          </cell>
          <cell r="U23" t="str">
            <v/>
          </cell>
        </row>
        <row r="24">
          <cell r="C24" t="str">
            <v/>
          </cell>
          <cell r="D24"/>
          <cell r="E24"/>
          <cell r="F24" t="str">
            <v/>
          </cell>
          <cell r="G24"/>
          <cell r="H24" t="str">
            <v/>
          </cell>
          <cell r="I24" t="str">
            <v/>
          </cell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 t="str">
            <v/>
          </cell>
          <cell r="U24" t="str">
            <v/>
          </cell>
        </row>
        <row r="25">
          <cell r="C25" t="str">
            <v/>
          </cell>
          <cell r="D25"/>
          <cell r="E25"/>
          <cell r="F25" t="str">
            <v/>
          </cell>
          <cell r="G25"/>
          <cell r="H25" t="str">
            <v/>
          </cell>
          <cell r="I25" t="str">
            <v/>
          </cell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 t="str">
            <v/>
          </cell>
          <cell r="U25" t="str">
            <v/>
          </cell>
        </row>
        <row r="26">
          <cell r="C26" t="str">
            <v/>
          </cell>
          <cell r="D26"/>
          <cell r="E26"/>
          <cell r="F26" t="str">
            <v/>
          </cell>
          <cell r="G26"/>
          <cell r="H26" t="str">
            <v/>
          </cell>
          <cell r="I26" t="str">
            <v/>
          </cell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 t="str">
            <v/>
          </cell>
          <cell r="U26" t="str">
            <v/>
          </cell>
        </row>
        <row r="27">
          <cell r="C27" t="str">
            <v/>
          </cell>
          <cell r="D27"/>
          <cell r="E27"/>
          <cell r="F27" t="str">
            <v/>
          </cell>
          <cell r="G27"/>
          <cell r="H27" t="str">
            <v/>
          </cell>
          <cell r="I27" t="str">
            <v/>
          </cell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 t="str">
            <v/>
          </cell>
          <cell r="U27" t="str">
            <v/>
          </cell>
        </row>
        <row r="28">
          <cell r="C28" t="str">
            <v/>
          </cell>
          <cell r="D28"/>
          <cell r="E28"/>
          <cell r="F28" t="str">
            <v/>
          </cell>
          <cell r="G28"/>
          <cell r="H28" t="str">
            <v/>
          </cell>
          <cell r="I28" t="str">
            <v/>
          </cell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 t="str">
            <v/>
          </cell>
          <cell r="U28" t="str">
            <v/>
          </cell>
        </row>
        <row r="29">
          <cell r="C29" t="str">
            <v/>
          </cell>
          <cell r="D29"/>
          <cell r="E29"/>
          <cell r="F29" t="str">
            <v/>
          </cell>
          <cell r="G29"/>
          <cell r="H29" t="str">
            <v/>
          </cell>
          <cell r="I29" t="str">
            <v/>
          </cell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 t="str">
            <v/>
          </cell>
          <cell r="U29" t="str">
            <v/>
          </cell>
        </row>
        <row r="30">
          <cell r="C30" t="str">
            <v/>
          </cell>
          <cell r="D30"/>
          <cell r="E30"/>
          <cell r="F30" t="str">
            <v/>
          </cell>
          <cell r="G30"/>
          <cell r="H30" t="str">
            <v/>
          </cell>
          <cell r="I30" t="str">
            <v/>
          </cell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 t="str">
            <v/>
          </cell>
          <cell r="U30" t="str">
            <v/>
          </cell>
        </row>
        <row r="31">
          <cell r="C31" t="str">
            <v/>
          </cell>
          <cell r="D31"/>
          <cell r="E31"/>
          <cell r="F31" t="str">
            <v/>
          </cell>
          <cell r="G31"/>
          <cell r="H31" t="str">
            <v/>
          </cell>
          <cell r="I31" t="str">
            <v/>
          </cell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 t="str">
            <v/>
          </cell>
          <cell r="U31" t="str">
            <v/>
          </cell>
        </row>
        <row r="32">
          <cell r="C32" t="str">
            <v/>
          </cell>
          <cell r="D32"/>
          <cell r="E32"/>
          <cell r="F32" t="str">
            <v/>
          </cell>
          <cell r="G32"/>
          <cell r="H32" t="str">
            <v/>
          </cell>
          <cell r="I32" t="str">
            <v/>
          </cell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 t="str">
            <v/>
          </cell>
          <cell r="U32" t="str">
            <v/>
          </cell>
        </row>
        <row r="33">
          <cell r="C33" t="str">
            <v/>
          </cell>
          <cell r="D33"/>
          <cell r="E33"/>
          <cell r="F33" t="str">
            <v/>
          </cell>
          <cell r="G33"/>
          <cell r="H33" t="str">
            <v/>
          </cell>
          <cell r="I33" t="str">
            <v/>
          </cell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 t="str">
            <v/>
          </cell>
          <cell r="U33" t="str">
            <v/>
          </cell>
        </row>
        <row r="34">
          <cell r="C34" t="str">
            <v/>
          </cell>
          <cell r="D34"/>
          <cell r="E34"/>
          <cell r="F34" t="str">
            <v/>
          </cell>
          <cell r="G34"/>
          <cell r="H34" t="str">
            <v/>
          </cell>
          <cell r="I34" t="str">
            <v/>
          </cell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 t="str">
            <v/>
          </cell>
          <cell r="U34" t="str">
            <v/>
          </cell>
        </row>
        <row r="35">
          <cell r="C35" t="str">
            <v/>
          </cell>
          <cell r="D35"/>
          <cell r="E35"/>
          <cell r="F35" t="str">
            <v/>
          </cell>
          <cell r="G35"/>
          <cell r="H35" t="str">
            <v/>
          </cell>
          <cell r="I35" t="str">
            <v/>
          </cell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 t="str">
            <v/>
          </cell>
          <cell r="U35" t="str">
            <v/>
          </cell>
        </row>
        <row r="36">
          <cell r="C36" t="str">
            <v/>
          </cell>
          <cell r="D36"/>
          <cell r="E36"/>
          <cell r="F36" t="str">
            <v/>
          </cell>
          <cell r="G36"/>
          <cell r="H36" t="str">
            <v/>
          </cell>
          <cell r="I36" t="str">
            <v/>
          </cell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 t="str">
            <v/>
          </cell>
          <cell r="U36" t="str">
            <v/>
          </cell>
        </row>
        <row r="37">
          <cell r="C37" t="str">
            <v/>
          </cell>
          <cell r="D37"/>
          <cell r="E37"/>
          <cell r="F37" t="str">
            <v/>
          </cell>
          <cell r="G37"/>
          <cell r="H37" t="str">
            <v/>
          </cell>
          <cell r="I37" t="str">
            <v/>
          </cell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 t="str">
            <v/>
          </cell>
          <cell r="U37" t="str">
            <v/>
          </cell>
        </row>
        <row r="38">
          <cell r="C38" t="str">
            <v/>
          </cell>
          <cell r="D38"/>
          <cell r="E38"/>
          <cell r="F38" t="str">
            <v/>
          </cell>
          <cell r="G38"/>
          <cell r="H38" t="str">
            <v/>
          </cell>
          <cell r="I38" t="str">
            <v/>
          </cell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 t="str">
            <v/>
          </cell>
          <cell r="U38" t="str">
            <v/>
          </cell>
        </row>
        <row r="39">
          <cell r="C39" t="str">
            <v/>
          </cell>
          <cell r="D39"/>
          <cell r="E39"/>
          <cell r="F39" t="str">
            <v/>
          </cell>
          <cell r="G39"/>
          <cell r="H39" t="str">
            <v/>
          </cell>
          <cell r="I39" t="str">
            <v/>
          </cell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 t="str">
            <v/>
          </cell>
          <cell r="U39" t="str">
            <v/>
          </cell>
        </row>
        <row r="40">
          <cell r="C40" t="str">
            <v/>
          </cell>
          <cell r="D40"/>
          <cell r="E40"/>
          <cell r="F40" t="str">
            <v/>
          </cell>
          <cell r="G40"/>
          <cell r="H40" t="str">
            <v/>
          </cell>
          <cell r="I40" t="str">
            <v/>
          </cell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 t="str">
            <v/>
          </cell>
          <cell r="U40" t="str">
            <v/>
          </cell>
        </row>
        <row r="41">
          <cell r="C41" t="str">
            <v/>
          </cell>
          <cell r="D41"/>
          <cell r="E41"/>
          <cell r="F41" t="str">
            <v/>
          </cell>
          <cell r="G41"/>
          <cell r="H41" t="str">
            <v/>
          </cell>
          <cell r="I41" t="str">
            <v/>
          </cell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 t="str">
            <v/>
          </cell>
          <cell r="U41" t="str">
            <v/>
          </cell>
        </row>
        <row r="42">
          <cell r="C42" t="str">
            <v/>
          </cell>
          <cell r="D42"/>
          <cell r="E42"/>
          <cell r="F42" t="str">
            <v/>
          </cell>
          <cell r="G42"/>
          <cell r="H42" t="str">
            <v/>
          </cell>
          <cell r="I42" t="str">
            <v/>
          </cell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 t="str">
            <v/>
          </cell>
          <cell r="U42" t="str">
            <v/>
          </cell>
        </row>
        <row r="43">
          <cell r="C43" t="str">
            <v/>
          </cell>
          <cell r="D43"/>
          <cell r="E43"/>
          <cell r="F43" t="str">
            <v/>
          </cell>
          <cell r="G43"/>
          <cell r="H43" t="str">
            <v/>
          </cell>
          <cell r="I43" t="str">
            <v/>
          </cell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 t="str">
            <v/>
          </cell>
          <cell r="U43" t="str">
            <v/>
          </cell>
        </row>
        <row r="44">
          <cell r="C44" t="str">
            <v/>
          </cell>
          <cell r="D44"/>
          <cell r="E44"/>
          <cell r="F44" t="str">
            <v/>
          </cell>
          <cell r="G44"/>
          <cell r="H44" t="str">
            <v/>
          </cell>
          <cell r="I44" t="str">
            <v/>
          </cell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 t="str">
            <v/>
          </cell>
          <cell r="U44" t="str">
            <v/>
          </cell>
        </row>
        <row r="45">
          <cell r="C45" t="str">
            <v/>
          </cell>
          <cell r="D45"/>
          <cell r="E45"/>
          <cell r="F45" t="str">
            <v/>
          </cell>
          <cell r="G45"/>
          <cell r="H45" t="str">
            <v/>
          </cell>
          <cell r="I45" t="str">
            <v/>
          </cell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 t="str">
            <v/>
          </cell>
          <cell r="U45" t="str">
            <v/>
          </cell>
        </row>
        <row r="46">
          <cell r="C46" t="str">
            <v/>
          </cell>
          <cell r="D46"/>
          <cell r="E46"/>
          <cell r="F46" t="str">
            <v/>
          </cell>
          <cell r="G46"/>
          <cell r="H46" t="str">
            <v/>
          </cell>
          <cell r="I46" t="str">
            <v/>
          </cell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 t="str">
            <v/>
          </cell>
          <cell r="U46" t="str">
            <v/>
          </cell>
        </row>
        <row r="47">
          <cell r="C47" t="str">
            <v/>
          </cell>
          <cell r="D47"/>
          <cell r="E47"/>
          <cell r="F47" t="str">
            <v/>
          </cell>
          <cell r="G47"/>
          <cell r="H47" t="str">
            <v/>
          </cell>
          <cell r="I47" t="str">
            <v/>
          </cell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 t="str">
            <v/>
          </cell>
          <cell r="U47" t="str">
            <v/>
          </cell>
        </row>
        <row r="48">
          <cell r="C48" t="str">
            <v/>
          </cell>
          <cell r="D48"/>
          <cell r="E48"/>
          <cell r="F48" t="str">
            <v/>
          </cell>
          <cell r="G48"/>
          <cell r="H48" t="str">
            <v/>
          </cell>
          <cell r="I48" t="str">
            <v/>
          </cell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 t="str">
            <v/>
          </cell>
          <cell r="U48" t="str">
            <v/>
          </cell>
        </row>
        <row r="49">
          <cell r="C49" t="str">
            <v/>
          </cell>
          <cell r="D49"/>
          <cell r="E49"/>
          <cell r="F49" t="str">
            <v/>
          </cell>
          <cell r="G49"/>
          <cell r="H49" t="str">
            <v/>
          </cell>
          <cell r="I49" t="str">
            <v/>
          </cell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 t="str">
            <v/>
          </cell>
          <cell r="U49" t="str">
            <v/>
          </cell>
        </row>
        <row r="50">
          <cell r="C50" t="str">
            <v/>
          </cell>
          <cell r="D50"/>
          <cell r="E50"/>
          <cell r="F50" t="str">
            <v/>
          </cell>
          <cell r="G50"/>
          <cell r="H50" t="str">
            <v/>
          </cell>
          <cell r="I50" t="str">
            <v/>
          </cell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 t="str">
            <v/>
          </cell>
          <cell r="U50" t="str">
            <v/>
          </cell>
        </row>
        <row r="51">
          <cell r="C51" t="str">
            <v/>
          </cell>
          <cell r="D51"/>
          <cell r="E51"/>
          <cell r="F51" t="str">
            <v/>
          </cell>
          <cell r="G51"/>
          <cell r="H51" t="str">
            <v/>
          </cell>
          <cell r="I51" t="str">
            <v/>
          </cell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 t="str">
            <v/>
          </cell>
          <cell r="U51" t="str">
            <v/>
          </cell>
        </row>
        <row r="52">
          <cell r="C52" t="str">
            <v/>
          </cell>
          <cell r="D52"/>
          <cell r="E52"/>
          <cell r="F52" t="str">
            <v/>
          </cell>
          <cell r="G52"/>
          <cell r="H52" t="str">
            <v/>
          </cell>
          <cell r="I52" t="str">
            <v/>
          </cell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 t="str">
            <v/>
          </cell>
          <cell r="U52" t="str">
            <v/>
          </cell>
        </row>
        <row r="53">
          <cell r="C53" t="str">
            <v/>
          </cell>
          <cell r="D53"/>
          <cell r="E53"/>
          <cell r="F53" t="str">
            <v/>
          </cell>
          <cell r="G53"/>
          <cell r="H53" t="str">
            <v/>
          </cell>
          <cell r="I53" t="str">
            <v/>
          </cell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 t="str">
            <v/>
          </cell>
          <cell r="U53" t="str">
            <v/>
          </cell>
        </row>
        <row r="54">
          <cell r="C54" t="str">
            <v/>
          </cell>
          <cell r="D54"/>
          <cell r="E54"/>
          <cell r="F54" t="str">
            <v/>
          </cell>
          <cell r="G54"/>
          <cell r="H54" t="str">
            <v/>
          </cell>
          <cell r="I54" t="str">
            <v/>
          </cell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 t="str">
            <v/>
          </cell>
          <cell r="U54" t="str">
            <v/>
          </cell>
        </row>
        <row r="55">
          <cell r="C55" t="str">
            <v/>
          </cell>
          <cell r="D55"/>
          <cell r="E55"/>
          <cell r="F55" t="str">
            <v/>
          </cell>
          <cell r="G55"/>
          <cell r="H55" t="str">
            <v/>
          </cell>
          <cell r="I55" t="str">
            <v/>
          </cell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 t="str">
            <v/>
          </cell>
          <cell r="U55" t="str">
            <v/>
          </cell>
        </row>
        <row r="56">
          <cell r="C56" t="str">
            <v/>
          </cell>
          <cell r="D56"/>
          <cell r="E56"/>
          <cell r="F56" t="str">
            <v/>
          </cell>
          <cell r="G56"/>
          <cell r="H56" t="str">
            <v/>
          </cell>
          <cell r="I56" t="str">
            <v/>
          </cell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 t="str">
            <v/>
          </cell>
          <cell r="U56" t="str">
            <v/>
          </cell>
        </row>
        <row r="57">
          <cell r="C57" t="str">
            <v/>
          </cell>
          <cell r="D57"/>
          <cell r="E57"/>
          <cell r="F57" t="str">
            <v/>
          </cell>
          <cell r="G57"/>
          <cell r="H57" t="str">
            <v/>
          </cell>
          <cell r="I57" t="str">
            <v/>
          </cell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 t="str">
            <v/>
          </cell>
          <cell r="U57" t="str">
            <v/>
          </cell>
        </row>
        <row r="58">
          <cell r="C58" t="str">
            <v/>
          </cell>
          <cell r="D58"/>
          <cell r="E58"/>
          <cell r="F58" t="str">
            <v/>
          </cell>
          <cell r="G58"/>
          <cell r="H58" t="str">
            <v/>
          </cell>
          <cell r="I58" t="str">
            <v/>
          </cell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 t="str">
            <v/>
          </cell>
          <cell r="U58" t="str">
            <v/>
          </cell>
        </row>
        <row r="59">
          <cell r="C59" t="str">
            <v/>
          </cell>
          <cell r="D59"/>
          <cell r="E59"/>
          <cell r="F59" t="str">
            <v/>
          </cell>
          <cell r="G59"/>
          <cell r="H59" t="str">
            <v/>
          </cell>
          <cell r="I59" t="str">
            <v/>
          </cell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 t="str">
            <v/>
          </cell>
          <cell r="U59" t="str">
            <v/>
          </cell>
        </row>
        <row r="60">
          <cell r="C60" t="str">
            <v/>
          </cell>
          <cell r="D60"/>
          <cell r="E60"/>
          <cell r="F60" t="str">
            <v/>
          </cell>
          <cell r="G60"/>
          <cell r="H60" t="str">
            <v/>
          </cell>
          <cell r="I60" t="str">
            <v/>
          </cell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 t="str">
            <v/>
          </cell>
          <cell r="U60" t="str">
            <v/>
          </cell>
        </row>
        <row r="61">
          <cell r="C61" t="str">
            <v/>
          </cell>
          <cell r="D61"/>
          <cell r="E61"/>
          <cell r="F61" t="str">
            <v/>
          </cell>
          <cell r="G61"/>
          <cell r="H61" t="str">
            <v/>
          </cell>
          <cell r="I61" t="str">
            <v/>
          </cell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 t="str">
            <v/>
          </cell>
          <cell r="U61" t="str">
            <v/>
          </cell>
        </row>
        <row r="62">
          <cell r="C62" t="str">
            <v/>
          </cell>
          <cell r="D62"/>
          <cell r="E62"/>
          <cell r="F62" t="str">
            <v/>
          </cell>
          <cell r="G62"/>
          <cell r="H62" t="str">
            <v/>
          </cell>
          <cell r="I62" t="str">
            <v/>
          </cell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 t="str">
            <v/>
          </cell>
          <cell r="U62" t="str">
            <v/>
          </cell>
        </row>
        <row r="63">
          <cell r="C63" t="str">
            <v/>
          </cell>
          <cell r="D63"/>
          <cell r="E63"/>
          <cell r="F63" t="str">
            <v/>
          </cell>
          <cell r="G63"/>
          <cell r="H63" t="str">
            <v/>
          </cell>
          <cell r="I63" t="str">
            <v/>
          </cell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 t="str">
            <v/>
          </cell>
          <cell r="U63" t="str">
            <v/>
          </cell>
        </row>
        <row r="64">
          <cell r="C64" t="str">
            <v/>
          </cell>
          <cell r="D64"/>
          <cell r="E64"/>
          <cell r="F64" t="str">
            <v/>
          </cell>
          <cell r="G64"/>
          <cell r="H64" t="str">
            <v/>
          </cell>
          <cell r="I64" t="str">
            <v/>
          </cell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 t="str">
            <v/>
          </cell>
          <cell r="U64" t="str">
            <v/>
          </cell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</row>
        <row r="66">
          <cell r="C66" t="str">
            <v/>
          </cell>
          <cell r="D66"/>
          <cell r="E66"/>
          <cell r="F66" t="str">
            <v/>
          </cell>
          <cell r="G66"/>
          <cell r="H66" t="str">
            <v/>
          </cell>
          <cell r="I66" t="str">
            <v/>
          </cell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 t="str">
            <v/>
          </cell>
          <cell r="U66" t="str">
            <v/>
          </cell>
        </row>
        <row r="67">
          <cell r="C67" t="str">
            <v/>
          </cell>
          <cell r="D67"/>
          <cell r="E67"/>
          <cell r="F67" t="str">
            <v/>
          </cell>
          <cell r="G67"/>
          <cell r="H67" t="str">
            <v/>
          </cell>
          <cell r="I67" t="str">
            <v/>
          </cell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 t="str">
            <v/>
          </cell>
          <cell r="U67" t="str">
            <v/>
          </cell>
        </row>
        <row r="68">
          <cell r="C68" t="str">
            <v/>
          </cell>
          <cell r="D68"/>
          <cell r="E68"/>
          <cell r="F68" t="str">
            <v/>
          </cell>
          <cell r="G68"/>
          <cell r="H68" t="str">
            <v/>
          </cell>
          <cell r="I68" t="str">
            <v/>
          </cell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 t="str">
            <v/>
          </cell>
          <cell r="U68" t="str">
            <v/>
          </cell>
        </row>
        <row r="69">
          <cell r="C69" t="str">
            <v/>
          </cell>
          <cell r="D69"/>
          <cell r="E69"/>
          <cell r="F69" t="str">
            <v/>
          </cell>
          <cell r="G69"/>
          <cell r="H69" t="str">
            <v/>
          </cell>
          <cell r="I69" t="str">
            <v/>
          </cell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 t="str">
            <v/>
          </cell>
          <cell r="U69" t="str">
            <v/>
          </cell>
        </row>
        <row r="70">
          <cell r="C70" t="str">
            <v/>
          </cell>
          <cell r="D70"/>
          <cell r="E70"/>
          <cell r="F70" t="str">
            <v/>
          </cell>
          <cell r="G70"/>
          <cell r="H70" t="str">
            <v/>
          </cell>
          <cell r="I70" t="str">
            <v/>
          </cell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 t="str">
            <v/>
          </cell>
          <cell r="U70" t="str">
            <v/>
          </cell>
        </row>
        <row r="71">
          <cell r="C71" t="str">
            <v/>
          </cell>
          <cell r="D71"/>
          <cell r="E71"/>
          <cell r="F71" t="str">
            <v/>
          </cell>
          <cell r="G71"/>
          <cell r="H71" t="str">
            <v/>
          </cell>
          <cell r="I71" t="str">
            <v/>
          </cell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 t="str">
            <v/>
          </cell>
          <cell r="U71" t="str">
            <v/>
          </cell>
        </row>
        <row r="72">
          <cell r="C72" t="str">
            <v/>
          </cell>
          <cell r="D72"/>
          <cell r="E72"/>
          <cell r="F72" t="str">
            <v/>
          </cell>
          <cell r="G72"/>
          <cell r="H72" t="str">
            <v/>
          </cell>
          <cell r="I72" t="str">
            <v/>
          </cell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 t="str">
            <v/>
          </cell>
          <cell r="U72" t="str">
            <v/>
          </cell>
        </row>
        <row r="73">
          <cell r="C73" t="str">
            <v/>
          </cell>
          <cell r="D73"/>
          <cell r="E73"/>
          <cell r="F73" t="str">
            <v/>
          </cell>
          <cell r="G73"/>
          <cell r="H73" t="str">
            <v/>
          </cell>
          <cell r="I73" t="str">
            <v/>
          </cell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 t="str">
            <v/>
          </cell>
          <cell r="U73" t="str">
            <v/>
          </cell>
        </row>
        <row r="74">
          <cell r="C74" t="str">
            <v/>
          </cell>
          <cell r="D74"/>
          <cell r="E74"/>
          <cell r="F74" t="str">
            <v/>
          </cell>
          <cell r="G74"/>
          <cell r="H74" t="str">
            <v/>
          </cell>
          <cell r="I74" t="str">
            <v/>
          </cell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 t="str">
            <v/>
          </cell>
          <cell r="U74" t="str">
            <v/>
          </cell>
        </row>
        <row r="75">
          <cell r="C75" t="str">
            <v/>
          </cell>
          <cell r="D75"/>
          <cell r="E75"/>
          <cell r="F75" t="str">
            <v/>
          </cell>
          <cell r="G75"/>
          <cell r="H75" t="str">
            <v/>
          </cell>
          <cell r="I75" t="str">
            <v/>
          </cell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 t="str">
            <v/>
          </cell>
          <cell r="U75" t="str">
            <v/>
          </cell>
        </row>
        <row r="76">
          <cell r="C76" t="str">
            <v/>
          </cell>
          <cell r="D76"/>
          <cell r="E76"/>
          <cell r="F76" t="str">
            <v/>
          </cell>
          <cell r="G76"/>
          <cell r="H76" t="str">
            <v/>
          </cell>
          <cell r="I76" t="str">
            <v/>
          </cell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 t="str">
            <v/>
          </cell>
          <cell r="U76" t="str">
            <v/>
          </cell>
        </row>
        <row r="77">
          <cell r="C77" t="str">
            <v/>
          </cell>
          <cell r="D77"/>
          <cell r="E77"/>
          <cell r="F77" t="str">
            <v/>
          </cell>
          <cell r="G77"/>
          <cell r="H77" t="str">
            <v/>
          </cell>
          <cell r="I77" t="str">
            <v/>
          </cell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 t="str">
            <v/>
          </cell>
          <cell r="U77" t="str">
            <v/>
          </cell>
        </row>
        <row r="78">
          <cell r="C78" t="str">
            <v/>
          </cell>
          <cell r="D78"/>
          <cell r="E78"/>
          <cell r="F78" t="str">
            <v/>
          </cell>
          <cell r="G78"/>
          <cell r="H78" t="str">
            <v/>
          </cell>
          <cell r="I78" t="str">
            <v/>
          </cell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 t="str">
            <v/>
          </cell>
          <cell r="U78" t="str">
            <v/>
          </cell>
        </row>
        <row r="79">
          <cell r="C79" t="str">
            <v/>
          </cell>
          <cell r="D79"/>
          <cell r="E79"/>
          <cell r="F79" t="str">
            <v/>
          </cell>
          <cell r="G79"/>
          <cell r="H79" t="str">
            <v/>
          </cell>
          <cell r="I79" t="str">
            <v/>
          </cell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 t="str">
            <v/>
          </cell>
          <cell r="U79" t="str">
            <v/>
          </cell>
        </row>
        <row r="80">
          <cell r="C80" t="str">
            <v/>
          </cell>
          <cell r="D80"/>
          <cell r="E80"/>
          <cell r="F80" t="str">
            <v/>
          </cell>
          <cell r="G80"/>
          <cell r="H80" t="str">
            <v/>
          </cell>
          <cell r="I80" t="str">
            <v/>
          </cell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 t="str">
            <v/>
          </cell>
          <cell r="U80" t="str">
            <v/>
          </cell>
        </row>
        <row r="81">
          <cell r="C81" t="str">
            <v/>
          </cell>
          <cell r="D81"/>
          <cell r="E81"/>
          <cell r="F81" t="str">
            <v/>
          </cell>
          <cell r="G81"/>
          <cell r="H81" t="str">
            <v/>
          </cell>
          <cell r="I81" t="str">
            <v/>
          </cell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 t="str">
            <v/>
          </cell>
          <cell r="U81" t="str">
            <v/>
          </cell>
        </row>
        <row r="82">
          <cell r="C82" t="str">
            <v/>
          </cell>
          <cell r="D82"/>
          <cell r="E82"/>
          <cell r="F82" t="str">
            <v/>
          </cell>
          <cell r="G82"/>
          <cell r="H82" t="str">
            <v/>
          </cell>
          <cell r="I82" t="str">
            <v/>
          </cell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 t="str">
            <v/>
          </cell>
          <cell r="U82" t="str">
            <v/>
          </cell>
        </row>
        <row r="83">
          <cell r="C83" t="str">
            <v/>
          </cell>
          <cell r="D83"/>
          <cell r="E83"/>
          <cell r="F83" t="str">
            <v/>
          </cell>
          <cell r="G83"/>
          <cell r="H83" t="str">
            <v/>
          </cell>
          <cell r="I83" t="str">
            <v/>
          </cell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 t="str">
            <v/>
          </cell>
          <cell r="U83" t="str">
            <v/>
          </cell>
        </row>
        <row r="84">
          <cell r="C84" t="str">
            <v/>
          </cell>
          <cell r="D84"/>
          <cell r="E84"/>
          <cell r="F84" t="str">
            <v/>
          </cell>
          <cell r="G84"/>
          <cell r="H84" t="str">
            <v/>
          </cell>
          <cell r="I84" t="str">
            <v/>
          </cell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 t="str">
            <v/>
          </cell>
          <cell r="U84" t="str">
            <v/>
          </cell>
        </row>
        <row r="85">
          <cell r="C85" t="str">
            <v/>
          </cell>
          <cell r="D85"/>
          <cell r="E85"/>
          <cell r="F85" t="str">
            <v/>
          </cell>
          <cell r="G85"/>
          <cell r="H85" t="str">
            <v/>
          </cell>
          <cell r="I85" t="str">
            <v/>
          </cell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 t="str">
            <v/>
          </cell>
          <cell r="U85" t="str">
            <v/>
          </cell>
        </row>
        <row r="86">
          <cell r="C86" t="str">
            <v/>
          </cell>
          <cell r="D86"/>
          <cell r="E86"/>
          <cell r="F86" t="str">
            <v/>
          </cell>
          <cell r="G86"/>
          <cell r="H86" t="str">
            <v/>
          </cell>
          <cell r="I86" t="str">
            <v/>
          </cell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 t="str">
            <v/>
          </cell>
          <cell r="U86" t="str">
            <v/>
          </cell>
        </row>
        <row r="87">
          <cell r="C87" t="str">
            <v/>
          </cell>
          <cell r="D87"/>
          <cell r="E87"/>
          <cell r="F87" t="str">
            <v/>
          </cell>
          <cell r="G87"/>
          <cell r="H87" t="str">
            <v/>
          </cell>
          <cell r="I87" t="str">
            <v/>
          </cell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 t="str">
            <v/>
          </cell>
          <cell r="U87" t="str">
            <v/>
          </cell>
        </row>
        <row r="88">
          <cell r="C88" t="str">
            <v/>
          </cell>
          <cell r="D88"/>
          <cell r="E88"/>
          <cell r="F88" t="str">
            <v/>
          </cell>
          <cell r="G88"/>
          <cell r="H88" t="str">
            <v/>
          </cell>
          <cell r="I88" t="str">
            <v/>
          </cell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 t="str">
            <v/>
          </cell>
          <cell r="U88" t="str">
            <v/>
          </cell>
        </row>
        <row r="89">
          <cell r="C89" t="str">
            <v/>
          </cell>
          <cell r="D89"/>
          <cell r="E89"/>
          <cell r="F89" t="str">
            <v/>
          </cell>
          <cell r="G89"/>
          <cell r="H89" t="str">
            <v/>
          </cell>
          <cell r="I89" t="str">
            <v/>
          </cell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 t="str">
            <v/>
          </cell>
          <cell r="U89" t="str">
            <v/>
          </cell>
        </row>
        <row r="90">
          <cell r="C90" t="str">
            <v/>
          </cell>
          <cell r="D90"/>
          <cell r="E90"/>
          <cell r="F90" t="str">
            <v/>
          </cell>
          <cell r="G90"/>
          <cell r="H90" t="str">
            <v/>
          </cell>
          <cell r="I90" t="str">
            <v/>
          </cell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 t="str">
            <v/>
          </cell>
          <cell r="U90" t="str">
            <v/>
          </cell>
        </row>
        <row r="91">
          <cell r="C91" t="str">
            <v/>
          </cell>
          <cell r="D91"/>
          <cell r="E91"/>
          <cell r="F91" t="str">
            <v/>
          </cell>
          <cell r="G91"/>
          <cell r="H91" t="str">
            <v/>
          </cell>
          <cell r="I91" t="str">
            <v/>
          </cell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 t="str">
            <v/>
          </cell>
          <cell r="U91" t="str">
            <v/>
          </cell>
        </row>
        <row r="92">
          <cell r="C92" t="str">
            <v/>
          </cell>
          <cell r="D92"/>
          <cell r="E92"/>
          <cell r="F92" t="str">
            <v/>
          </cell>
          <cell r="G92"/>
          <cell r="H92" t="str">
            <v/>
          </cell>
          <cell r="I92" t="str">
            <v/>
          </cell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 t="str">
            <v/>
          </cell>
          <cell r="U92" t="str">
            <v/>
          </cell>
        </row>
        <row r="93">
          <cell r="C93" t="str">
            <v/>
          </cell>
          <cell r="D93"/>
          <cell r="E93"/>
          <cell r="F93" t="str">
            <v/>
          </cell>
          <cell r="G93"/>
          <cell r="H93" t="str">
            <v/>
          </cell>
          <cell r="I93" t="str">
            <v/>
          </cell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 t="str">
            <v/>
          </cell>
          <cell r="U93" t="str">
            <v/>
          </cell>
        </row>
        <row r="94">
          <cell r="C94" t="str">
            <v/>
          </cell>
          <cell r="D94"/>
          <cell r="E94"/>
          <cell r="F94" t="str">
            <v/>
          </cell>
          <cell r="G94"/>
          <cell r="H94" t="str">
            <v/>
          </cell>
          <cell r="I94" t="str">
            <v/>
          </cell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 t="str">
            <v/>
          </cell>
          <cell r="U94" t="str">
            <v/>
          </cell>
        </row>
        <row r="95">
          <cell r="C95" t="str">
            <v/>
          </cell>
          <cell r="D95"/>
          <cell r="E95"/>
          <cell r="F95" t="str">
            <v/>
          </cell>
          <cell r="G95"/>
          <cell r="H95" t="str">
            <v/>
          </cell>
          <cell r="I95" t="str">
            <v/>
          </cell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 t="str">
            <v/>
          </cell>
          <cell r="U95" t="str">
            <v/>
          </cell>
        </row>
        <row r="96">
          <cell r="C96" t="str">
            <v/>
          </cell>
          <cell r="D96"/>
          <cell r="E96"/>
          <cell r="F96" t="str">
            <v/>
          </cell>
          <cell r="G96"/>
          <cell r="H96" t="str">
            <v/>
          </cell>
          <cell r="I96" t="str">
            <v/>
          </cell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 t="str">
            <v/>
          </cell>
          <cell r="U96" t="str">
            <v/>
          </cell>
        </row>
        <row r="97">
          <cell r="C97" t="str">
            <v/>
          </cell>
          <cell r="D97"/>
          <cell r="E97"/>
          <cell r="F97" t="str">
            <v/>
          </cell>
          <cell r="G97"/>
          <cell r="H97" t="str">
            <v/>
          </cell>
          <cell r="I97" t="str">
            <v/>
          </cell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 t="str">
            <v/>
          </cell>
          <cell r="U97" t="str">
            <v/>
          </cell>
        </row>
        <row r="98">
          <cell r="C98" t="str">
            <v/>
          </cell>
          <cell r="D98"/>
          <cell r="E98"/>
          <cell r="F98" t="str">
            <v/>
          </cell>
          <cell r="G98"/>
          <cell r="H98" t="str">
            <v/>
          </cell>
          <cell r="I98" t="str">
            <v/>
          </cell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 t="str">
            <v/>
          </cell>
          <cell r="U98" t="str">
            <v/>
          </cell>
        </row>
        <row r="99">
          <cell r="C99" t="str">
            <v/>
          </cell>
          <cell r="D99"/>
          <cell r="E99"/>
          <cell r="F99" t="str">
            <v/>
          </cell>
          <cell r="G99"/>
          <cell r="H99" t="str">
            <v/>
          </cell>
          <cell r="I99" t="str">
            <v/>
          </cell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 t="str">
            <v/>
          </cell>
          <cell r="U99" t="str">
            <v/>
          </cell>
        </row>
        <row r="100">
          <cell r="C100" t="str">
            <v/>
          </cell>
          <cell r="D100"/>
          <cell r="E100"/>
          <cell r="F100" t="str">
            <v/>
          </cell>
          <cell r="G100"/>
          <cell r="H100" t="str">
            <v/>
          </cell>
          <cell r="I100" t="str">
            <v/>
          </cell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 t="str">
            <v/>
          </cell>
          <cell r="U100" t="str">
            <v/>
          </cell>
        </row>
        <row r="101">
          <cell r="C101" t="str">
            <v/>
          </cell>
          <cell r="D101"/>
          <cell r="E101"/>
          <cell r="F101" t="str">
            <v/>
          </cell>
          <cell r="G101"/>
          <cell r="H101" t="str">
            <v/>
          </cell>
          <cell r="I101" t="str">
            <v/>
          </cell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 t="str">
            <v/>
          </cell>
          <cell r="U101" t="str">
            <v/>
          </cell>
        </row>
        <row r="102">
          <cell r="C102" t="str">
            <v/>
          </cell>
          <cell r="D102"/>
          <cell r="E102"/>
          <cell r="F102" t="str">
            <v/>
          </cell>
          <cell r="G102"/>
          <cell r="H102" t="str">
            <v/>
          </cell>
          <cell r="I102" t="str">
            <v/>
          </cell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 t="str">
            <v/>
          </cell>
          <cell r="U102" t="str">
            <v/>
          </cell>
        </row>
        <row r="103">
          <cell r="C103" t="str">
            <v/>
          </cell>
          <cell r="D103"/>
          <cell r="E103"/>
          <cell r="F103" t="str">
            <v/>
          </cell>
          <cell r="G103"/>
          <cell r="H103" t="str">
            <v/>
          </cell>
          <cell r="I103" t="str">
            <v/>
          </cell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 t="str">
            <v/>
          </cell>
          <cell r="U103" t="str">
            <v/>
          </cell>
        </row>
        <row r="104">
          <cell r="C104" t="str">
            <v/>
          </cell>
          <cell r="D104"/>
          <cell r="E104"/>
          <cell r="F104" t="str">
            <v/>
          </cell>
          <cell r="G104"/>
          <cell r="H104" t="str">
            <v/>
          </cell>
          <cell r="I104" t="str">
            <v/>
          </cell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 t="str">
            <v/>
          </cell>
          <cell r="U104" t="str">
            <v/>
          </cell>
        </row>
        <row r="105">
          <cell r="C105" t="str">
            <v/>
          </cell>
          <cell r="D105"/>
          <cell r="E105"/>
          <cell r="F105" t="str">
            <v/>
          </cell>
          <cell r="G105"/>
          <cell r="H105" t="str">
            <v/>
          </cell>
          <cell r="I105" t="str">
            <v/>
          </cell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 t="str">
            <v/>
          </cell>
          <cell r="U105" t="str">
            <v/>
          </cell>
        </row>
        <row r="106">
          <cell r="C106" t="str">
            <v/>
          </cell>
          <cell r="D106"/>
          <cell r="E106"/>
          <cell r="F106" t="str">
            <v/>
          </cell>
          <cell r="G106"/>
          <cell r="H106" t="str">
            <v/>
          </cell>
          <cell r="I106" t="str">
            <v/>
          </cell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 t="str">
            <v/>
          </cell>
          <cell r="U106" t="str">
            <v/>
          </cell>
        </row>
        <row r="107">
          <cell r="C107" t="str">
            <v/>
          </cell>
          <cell r="D107"/>
          <cell r="E107"/>
          <cell r="F107" t="str">
            <v/>
          </cell>
          <cell r="G107"/>
          <cell r="H107" t="str">
            <v/>
          </cell>
          <cell r="I107" t="str">
            <v/>
          </cell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 t="str">
            <v/>
          </cell>
          <cell r="U107" t="str">
            <v/>
          </cell>
        </row>
        <row r="108">
          <cell r="C108" t="str">
            <v/>
          </cell>
          <cell r="D108"/>
          <cell r="E108"/>
          <cell r="F108" t="str">
            <v/>
          </cell>
          <cell r="G108"/>
          <cell r="H108" t="str">
            <v/>
          </cell>
          <cell r="I108" t="str">
            <v/>
          </cell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 t="str">
            <v/>
          </cell>
          <cell r="U108" t="str">
            <v/>
          </cell>
        </row>
        <row r="109">
          <cell r="C109" t="str">
            <v/>
          </cell>
          <cell r="D109"/>
          <cell r="E109"/>
          <cell r="F109" t="str">
            <v/>
          </cell>
          <cell r="G109"/>
          <cell r="H109" t="str">
            <v/>
          </cell>
          <cell r="I109" t="str">
            <v/>
          </cell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 t="str">
            <v/>
          </cell>
          <cell r="U109" t="str">
            <v/>
          </cell>
        </row>
        <row r="110">
          <cell r="C110" t="str">
            <v/>
          </cell>
          <cell r="D110"/>
          <cell r="E110"/>
          <cell r="F110" t="str">
            <v/>
          </cell>
          <cell r="G110"/>
          <cell r="H110" t="str">
            <v/>
          </cell>
          <cell r="I110" t="str">
            <v/>
          </cell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 t="str">
            <v/>
          </cell>
          <cell r="U110" t="str">
            <v/>
          </cell>
        </row>
        <row r="111">
          <cell r="C111" t="str">
            <v/>
          </cell>
          <cell r="D111"/>
          <cell r="E111"/>
          <cell r="F111" t="str">
            <v/>
          </cell>
          <cell r="G111"/>
          <cell r="H111" t="str">
            <v/>
          </cell>
          <cell r="I111" t="str">
            <v/>
          </cell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 t="str">
            <v/>
          </cell>
          <cell r="U111" t="str">
            <v/>
          </cell>
        </row>
        <row r="112">
          <cell r="C112" t="str">
            <v/>
          </cell>
          <cell r="D112"/>
          <cell r="E112"/>
          <cell r="F112" t="str">
            <v/>
          </cell>
          <cell r="G112"/>
          <cell r="H112" t="str">
            <v/>
          </cell>
          <cell r="I112" t="str">
            <v/>
          </cell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 t="str">
            <v/>
          </cell>
          <cell r="U112" t="str">
            <v/>
          </cell>
        </row>
        <row r="113">
          <cell r="C113" t="str">
            <v/>
          </cell>
          <cell r="D113"/>
          <cell r="E113"/>
          <cell r="F113" t="str">
            <v/>
          </cell>
          <cell r="G113"/>
          <cell r="H113" t="str">
            <v/>
          </cell>
          <cell r="I113" t="str">
            <v/>
          </cell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 t="str">
            <v/>
          </cell>
          <cell r="U113" t="str">
            <v/>
          </cell>
        </row>
        <row r="114">
          <cell r="C114" t="str">
            <v/>
          </cell>
          <cell r="D114"/>
          <cell r="E114"/>
          <cell r="F114" t="str">
            <v/>
          </cell>
          <cell r="G114"/>
          <cell r="H114" t="str">
            <v/>
          </cell>
          <cell r="I114" t="str">
            <v/>
          </cell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 t="str">
            <v/>
          </cell>
          <cell r="U114" t="str">
            <v/>
          </cell>
        </row>
        <row r="115">
          <cell r="C115" t="str">
            <v/>
          </cell>
          <cell r="D115"/>
          <cell r="E115"/>
          <cell r="F115" t="str">
            <v/>
          </cell>
          <cell r="G115"/>
          <cell r="H115" t="str">
            <v/>
          </cell>
          <cell r="I115" t="str">
            <v/>
          </cell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 t="str">
            <v/>
          </cell>
          <cell r="U115" t="str">
            <v/>
          </cell>
        </row>
      </sheetData>
      <sheetData sheetId="5"/>
      <sheetData sheetId="6">
        <row r="14">
          <cell r="C14" t="str">
            <v/>
          </cell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</row>
        <row r="15">
          <cell r="C15" t="str">
            <v/>
          </cell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C16" t="str">
            <v/>
          </cell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C17" t="str">
            <v/>
          </cell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C18" t="str">
            <v/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C19" t="str">
            <v/>
          </cell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C20" t="str">
            <v/>
          </cell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C21" t="str">
            <v/>
          </cell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C22" t="str">
            <v/>
          </cell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  <row r="23">
          <cell r="C23" t="str">
            <v/>
          </cell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C24" t="str">
            <v/>
          </cell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</row>
        <row r="25">
          <cell r="C25" t="str">
            <v/>
          </cell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</row>
        <row r="26">
          <cell r="C26" t="str">
            <v/>
          </cell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</row>
        <row r="27">
          <cell r="C27" t="str">
            <v/>
          </cell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</row>
        <row r="28">
          <cell r="C28" t="str">
            <v/>
          </cell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</row>
        <row r="29">
          <cell r="C29" t="str">
            <v/>
          </cell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</row>
        <row r="30">
          <cell r="C30" t="str">
            <v/>
          </cell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</row>
        <row r="31">
          <cell r="C31" t="str">
            <v/>
          </cell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</row>
        <row r="32">
          <cell r="C32" t="str">
            <v/>
          </cell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</row>
        <row r="33">
          <cell r="C33" t="str">
            <v/>
          </cell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</row>
        <row r="34">
          <cell r="C34" t="str">
            <v/>
          </cell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</row>
        <row r="35">
          <cell r="C35" t="str">
            <v/>
          </cell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</row>
        <row r="36">
          <cell r="C36" t="str">
            <v/>
          </cell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</row>
        <row r="37">
          <cell r="C37" t="str">
            <v/>
          </cell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</row>
        <row r="38">
          <cell r="C38" t="str">
            <v/>
          </cell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</row>
        <row r="39">
          <cell r="C39" t="str">
            <v/>
          </cell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C40" t="str">
            <v/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C41" t="str">
            <v/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C42" t="str">
            <v/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</row>
        <row r="43">
          <cell r="C43" t="str">
            <v/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C44" t="str">
            <v/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</row>
        <row r="45">
          <cell r="C45" t="str">
            <v/>
          </cell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C46" t="str">
            <v/>
          </cell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</row>
        <row r="47">
          <cell r="C47" t="str">
            <v/>
          </cell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</row>
        <row r="48">
          <cell r="C48" t="str">
            <v/>
          </cell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C49" t="str">
            <v/>
          </cell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</row>
        <row r="50">
          <cell r="C50" t="str">
            <v/>
          </cell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</row>
        <row r="51">
          <cell r="C51" t="str">
            <v/>
          </cell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</row>
        <row r="52">
          <cell r="C52" t="str">
            <v/>
          </cell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</row>
        <row r="53">
          <cell r="C53" t="str">
            <v/>
          </cell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</row>
        <row r="54">
          <cell r="C54" t="str">
            <v/>
          </cell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</row>
        <row r="55">
          <cell r="C55" t="str">
            <v/>
          </cell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</row>
        <row r="56">
          <cell r="C56" t="str">
            <v/>
          </cell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</row>
        <row r="57">
          <cell r="C57" t="str">
            <v/>
          </cell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</row>
        <row r="58">
          <cell r="C58" t="str">
            <v/>
          </cell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</row>
        <row r="59">
          <cell r="C59" t="str">
            <v/>
          </cell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</row>
        <row r="60">
          <cell r="C60" t="str">
            <v/>
          </cell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</row>
        <row r="61">
          <cell r="C61" t="str">
            <v/>
          </cell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</row>
        <row r="62">
          <cell r="C62" t="str">
            <v/>
          </cell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</row>
        <row r="63">
          <cell r="C63" t="str">
            <v/>
          </cell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</row>
        <row r="64"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</row>
        <row r="65">
          <cell r="C65" t="str">
            <v/>
          </cell>
          <cell r="D65"/>
          <cell r="E65"/>
          <cell r="F65">
            <v>15</v>
          </cell>
          <cell r="G65">
            <v>20</v>
          </cell>
          <cell r="H65">
            <v>20</v>
          </cell>
          <cell r="I65">
            <v>20</v>
          </cell>
          <cell r="J65">
            <v>17</v>
          </cell>
          <cell r="K65">
            <v>20</v>
          </cell>
          <cell r="L65">
            <v>20</v>
          </cell>
          <cell r="M65">
            <v>18</v>
          </cell>
          <cell r="N65">
            <v>18</v>
          </cell>
          <cell r="O65">
            <v>20</v>
          </cell>
          <cell r="P65">
            <v>2</v>
          </cell>
        </row>
        <row r="66">
          <cell r="C66" t="str">
            <v/>
          </cell>
          <cell r="D66"/>
          <cell r="E66"/>
          <cell r="F66">
            <v>20</v>
          </cell>
          <cell r="G66">
            <v>16</v>
          </cell>
          <cell r="H66">
            <v>20</v>
          </cell>
          <cell r="I66">
            <v>19</v>
          </cell>
          <cell r="J66">
            <v>20</v>
          </cell>
          <cell r="K66">
            <v>20</v>
          </cell>
          <cell r="L66">
            <v>20</v>
          </cell>
          <cell r="M66">
            <v>18</v>
          </cell>
          <cell r="N66">
            <v>18</v>
          </cell>
          <cell r="O66">
            <v>20</v>
          </cell>
          <cell r="P66">
            <v>5</v>
          </cell>
        </row>
        <row r="67">
          <cell r="C67" t="str">
            <v/>
          </cell>
          <cell r="D67"/>
          <cell r="E67"/>
          <cell r="F67">
            <v>18</v>
          </cell>
          <cell r="G67">
            <v>20</v>
          </cell>
          <cell r="H67">
            <v>20</v>
          </cell>
          <cell r="I67">
            <v>20</v>
          </cell>
          <cell r="J67">
            <v>20</v>
          </cell>
          <cell r="K67">
            <v>19</v>
          </cell>
          <cell r="L67">
            <v>20</v>
          </cell>
          <cell r="M67">
            <v>18</v>
          </cell>
          <cell r="N67">
            <v>18</v>
          </cell>
          <cell r="O67">
            <v>20</v>
          </cell>
          <cell r="P67">
            <v>3</v>
          </cell>
        </row>
        <row r="68">
          <cell r="C68" t="str">
            <v/>
          </cell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</row>
        <row r="69">
          <cell r="C69" t="str">
            <v/>
          </cell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</row>
        <row r="70">
          <cell r="C70" t="str">
            <v/>
          </cell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</row>
        <row r="71">
          <cell r="C71" t="str">
            <v/>
          </cell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</row>
        <row r="72">
          <cell r="C72" t="str">
            <v/>
          </cell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</row>
        <row r="73">
          <cell r="C73" t="str">
            <v/>
          </cell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</row>
        <row r="74">
          <cell r="C74" t="str">
            <v/>
          </cell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</row>
        <row r="75">
          <cell r="C75" t="str">
            <v/>
          </cell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</row>
        <row r="76">
          <cell r="C76" t="str">
            <v/>
          </cell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</row>
        <row r="77">
          <cell r="C77" t="str">
            <v/>
          </cell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</row>
        <row r="78">
          <cell r="C78" t="str">
            <v/>
          </cell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</row>
        <row r="79">
          <cell r="C79" t="str">
            <v/>
          </cell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</row>
        <row r="80">
          <cell r="C80" t="str">
            <v/>
          </cell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</row>
        <row r="81">
          <cell r="C81" t="str">
            <v/>
          </cell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</row>
        <row r="82">
          <cell r="C82" t="str">
            <v/>
          </cell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</row>
        <row r="83">
          <cell r="C83" t="str">
            <v/>
          </cell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</row>
        <row r="84">
          <cell r="C84" t="str">
            <v/>
          </cell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</row>
        <row r="85">
          <cell r="C85" t="str">
            <v/>
          </cell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</row>
        <row r="86">
          <cell r="C86" t="str">
            <v/>
          </cell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</row>
        <row r="87">
          <cell r="C87" t="str">
            <v/>
          </cell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</row>
        <row r="88">
          <cell r="C88" t="str">
            <v/>
          </cell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</row>
        <row r="89">
          <cell r="C89" t="str">
            <v/>
          </cell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</row>
        <row r="90">
          <cell r="C90" t="str">
            <v/>
          </cell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</row>
        <row r="91">
          <cell r="C91" t="str">
            <v/>
          </cell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</row>
        <row r="92">
          <cell r="C92" t="str">
            <v/>
          </cell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</row>
        <row r="93">
          <cell r="C93" t="str">
            <v/>
          </cell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</row>
        <row r="94">
          <cell r="C94" t="str">
            <v/>
          </cell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</row>
        <row r="95">
          <cell r="C95" t="str">
            <v/>
          </cell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</row>
        <row r="96">
          <cell r="C96" t="str">
            <v/>
          </cell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</row>
        <row r="97">
          <cell r="C97" t="str">
            <v/>
          </cell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</row>
        <row r="98">
          <cell r="C98" t="str">
            <v/>
          </cell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</row>
        <row r="99">
          <cell r="C99" t="str">
            <v/>
          </cell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</row>
        <row r="100">
          <cell r="C100" t="str">
            <v/>
          </cell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</row>
        <row r="101">
          <cell r="C101" t="str">
            <v/>
          </cell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</row>
        <row r="102">
          <cell r="C102" t="str">
            <v/>
          </cell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</row>
        <row r="103">
          <cell r="C103" t="str">
            <v/>
          </cell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</row>
        <row r="104">
          <cell r="C104" t="str">
            <v/>
          </cell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</row>
        <row r="105">
          <cell r="C105" t="str">
            <v/>
          </cell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</row>
        <row r="106">
          <cell r="C106" t="str">
            <v/>
          </cell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</row>
        <row r="107">
          <cell r="C107" t="str">
            <v/>
          </cell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</row>
        <row r="108">
          <cell r="C108" t="str">
            <v/>
          </cell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</row>
        <row r="109">
          <cell r="C109" t="str">
            <v/>
          </cell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</row>
        <row r="110">
          <cell r="C110" t="str">
            <v/>
          </cell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</row>
        <row r="111">
          <cell r="C111" t="str">
            <v/>
          </cell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</row>
        <row r="112">
          <cell r="C112" t="str">
            <v/>
          </cell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</row>
        <row r="113">
          <cell r="C113" t="str">
            <v/>
          </cell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</row>
        <row r="114">
          <cell r="C114" t="str">
            <v/>
          </cell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DABC-3BE4-4A71-BB9B-95BFC5E856FF}">
  <sheetPr>
    <outlinePr summaryBelow="0" summaryRight="0"/>
    <pageSetUpPr fitToPage="1"/>
  </sheetPr>
  <dimension ref="A1:AF1000"/>
  <sheetViews>
    <sheetView tabSelected="1" topLeftCell="A5" zoomScale="70" zoomScaleNormal="70" workbookViewId="0">
      <selection activeCell="AE31" sqref="AE31"/>
    </sheetView>
  </sheetViews>
  <sheetFormatPr defaultColWidth="12.6640625" defaultRowHeight="15" customHeight="1" x14ac:dyDescent="0.3"/>
  <cols>
    <col min="1" max="1" width="3.88671875" style="6" customWidth="1"/>
    <col min="2" max="2" width="10.88671875" style="6" customWidth="1"/>
    <col min="3" max="3" width="6.33203125" style="6" customWidth="1"/>
    <col min="4" max="4" width="1.88671875" style="6" customWidth="1"/>
    <col min="5" max="5" width="18.33203125" style="6" customWidth="1"/>
    <col min="6" max="6" width="9.21875" style="6" customWidth="1"/>
    <col min="7" max="7" width="8.44140625" style="6" customWidth="1"/>
    <col min="8" max="9" width="9.109375" style="6" customWidth="1"/>
    <col min="10" max="10" width="10" style="6" customWidth="1"/>
    <col min="11" max="11" width="15.109375" style="6" customWidth="1"/>
    <col min="12" max="16" width="3.88671875" style="6" customWidth="1"/>
    <col min="17" max="17" width="14.77734375" style="6" customWidth="1"/>
    <col min="18" max="28" width="6.44140625" style="6" customWidth="1"/>
    <col min="29" max="29" width="12.6640625" style="6" customWidth="1"/>
    <col min="30" max="30" width="3.88671875" style="6" customWidth="1"/>
    <col min="31" max="32" width="12.6640625" style="6" customWidth="1"/>
    <col min="33" max="16384" width="12.6640625" style="6"/>
  </cols>
  <sheetData>
    <row r="1" spans="1:32" ht="0.6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2.6" customHeigh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5"/>
      <c r="N2" s="5"/>
      <c r="O2" s="5"/>
      <c r="P2" s="7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5"/>
      <c r="AF2" s="5"/>
    </row>
    <row r="3" spans="1:32" ht="15.6" hidden="1" customHeight="1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1"/>
      <c r="N3" s="11"/>
      <c r="O3" s="11"/>
      <c r="P3" s="10"/>
      <c r="Q3" s="11"/>
      <c r="R3" s="11"/>
      <c r="S3" s="11"/>
      <c r="T3" s="5"/>
      <c r="U3" s="5"/>
      <c r="V3" s="5"/>
      <c r="W3" s="5"/>
      <c r="X3" s="5"/>
      <c r="Y3" s="5"/>
      <c r="Z3" s="5"/>
      <c r="AA3" s="5"/>
      <c r="AB3" s="5"/>
      <c r="AC3" s="5"/>
      <c r="AD3" s="13"/>
      <c r="AE3" s="5"/>
      <c r="AF3" s="5"/>
    </row>
    <row r="4" spans="1:32" ht="15.75" customHeight="1" x14ac:dyDescent="0.3">
      <c r="A4" s="14"/>
      <c r="B4" s="45" t="s">
        <v>0</v>
      </c>
      <c r="C4" s="46"/>
      <c r="D4" s="46"/>
      <c r="E4" s="46"/>
      <c r="F4" s="46"/>
      <c r="G4" s="46"/>
      <c r="H4" s="46"/>
      <c r="I4" s="46"/>
      <c r="J4" s="46"/>
      <c r="K4" s="46"/>
      <c r="L4" s="16"/>
      <c r="M4" s="15"/>
      <c r="N4" s="15"/>
      <c r="O4" s="15"/>
      <c r="P4" s="14"/>
      <c r="Q4" s="4" t="s">
        <v>1</v>
      </c>
      <c r="R4" s="4" t="s">
        <v>2</v>
      </c>
      <c r="S4" s="4" t="s">
        <v>3</v>
      </c>
      <c r="T4" s="4" t="s">
        <v>4</v>
      </c>
      <c r="U4" s="4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13"/>
      <c r="AE4" s="5"/>
      <c r="AF4" s="5"/>
    </row>
    <row r="5" spans="1:32" ht="15.75" customHeight="1" x14ac:dyDescent="0.3">
      <c r="A5" s="14"/>
      <c r="B5" s="45" t="s">
        <v>14</v>
      </c>
      <c r="C5" s="46"/>
      <c r="D5" s="46"/>
      <c r="E5" s="46"/>
      <c r="F5" s="46"/>
      <c r="G5" s="46"/>
      <c r="H5" s="46"/>
      <c r="I5" s="46"/>
      <c r="J5" s="46"/>
      <c r="K5" s="46"/>
      <c r="L5" s="16"/>
      <c r="M5" s="15"/>
      <c r="N5" s="15"/>
      <c r="O5" s="5"/>
      <c r="P5" s="17"/>
      <c r="Q5" s="86" t="s">
        <v>15</v>
      </c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6">
        <f>SUM(R5:AB6)</f>
        <v>0</v>
      </c>
      <c r="AD5" s="13"/>
      <c r="AE5" s="5"/>
      <c r="AF5" s="5"/>
    </row>
    <row r="6" spans="1:32" ht="15.75" customHeight="1" x14ac:dyDescent="0.3">
      <c r="A6" s="17"/>
      <c r="B6" s="5"/>
      <c r="C6" s="15"/>
      <c r="D6" s="15"/>
      <c r="E6" s="15"/>
      <c r="F6" s="15"/>
      <c r="G6" s="15"/>
      <c r="H6" s="15"/>
      <c r="I6" s="15"/>
      <c r="J6" s="15"/>
      <c r="K6" s="15"/>
      <c r="L6" s="13"/>
      <c r="M6" s="5"/>
      <c r="N6" s="5"/>
      <c r="O6" s="15"/>
      <c r="P6" s="14"/>
      <c r="Q6" s="87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13"/>
      <c r="AE6" s="5"/>
      <c r="AF6" s="5"/>
    </row>
    <row r="7" spans="1:32" ht="15.75" customHeight="1" x14ac:dyDescent="0.3">
      <c r="A7" s="14"/>
      <c r="B7" s="45" t="s">
        <v>77</v>
      </c>
      <c r="C7" s="46"/>
      <c r="D7" s="46"/>
      <c r="E7" s="46"/>
      <c r="F7" s="46"/>
      <c r="G7" s="46"/>
      <c r="H7" s="46"/>
      <c r="I7" s="46"/>
      <c r="J7" s="46"/>
      <c r="K7" s="46"/>
      <c r="L7" s="16"/>
      <c r="M7" s="15"/>
      <c r="N7" s="15"/>
      <c r="O7" s="15"/>
      <c r="P7" s="14"/>
      <c r="Q7" s="86" t="s">
        <v>16</v>
      </c>
      <c r="R7" s="75" t="str">
        <f>IF('[1]ATTENDANCE RECORD SUMMARY'!F14="","",IFERROR(VLOOKUP(C17,'[1]ATTENDANCE RECORD SUMMARY'!$C$14:$P$114,4,0),""))</f>
        <v/>
      </c>
      <c r="S7" s="75" t="str">
        <f>IF('[1]ATTENDANCE RECORD SUMMARY'!F14="","",IFERROR(VLOOKUP(C17,'[1]ATTENDANCE RECORD SUMMARY'!$C$14:$P$114,5,0),""))</f>
        <v/>
      </c>
      <c r="T7" s="75" t="str">
        <f>IF('[1]ATTENDANCE RECORD SUMMARY'!F14="","",IFERROR(VLOOKUP(C17,'[1]ATTENDANCE RECORD SUMMARY'!$C$14:$P$114,6,0),""))</f>
        <v/>
      </c>
      <c r="U7" s="75" t="str">
        <f>IF('[1]ATTENDANCE RECORD SUMMARY'!F14="","",IFERROR(VLOOKUP(C17,'[1]ATTENDANCE RECORD SUMMARY'!$C$14:$P$114,7,0),""))</f>
        <v/>
      </c>
      <c r="V7" s="75" t="str">
        <f>IF('[1]ATTENDANCE RECORD SUMMARY'!F14="","",IFERROR(VLOOKUP(C17,'[1]ATTENDANCE RECORD SUMMARY'!$C$14:$P$114,8,0),""))</f>
        <v/>
      </c>
      <c r="W7" s="75" t="str">
        <f>IF('[1]ATTENDANCE RECORD SUMMARY'!F14="","",IFERROR(VLOOKUP(C17,'[1]ATTENDANCE RECORD SUMMARY'!$C$14:$P$114,9,0),""))</f>
        <v/>
      </c>
      <c r="X7" s="75" t="str">
        <f>IF('[1]ATTENDANCE RECORD SUMMARY'!F14="","",IFERROR(VLOOKUP(C17,'[1]ATTENDANCE RECORD SUMMARY'!$C$14:$P$114,10,0),""))</f>
        <v/>
      </c>
      <c r="Y7" s="75" t="str">
        <f>IF('[1]ATTENDANCE RECORD SUMMARY'!F14="","",IFERROR(VLOOKUP(C17,'[1]ATTENDANCE RECORD SUMMARY'!$C$14:$P$114,11,0),""))</f>
        <v/>
      </c>
      <c r="Z7" s="75" t="str">
        <f>IF('[1]ATTENDANCE RECORD SUMMARY'!F14="","",IFERROR(VLOOKUP(C17,'[1]ATTENDANCE RECORD SUMMARY'!$C$14:$P$114,12,0),""))</f>
        <v/>
      </c>
      <c r="AA7" s="75" t="str">
        <f>IF('[1]ATTENDANCE RECORD SUMMARY'!F14="","",IFERROR(VLOOKUP(C17,'[1]ATTENDANCE RECORD SUMMARY'!$C$14:$P$114,13,0),""))</f>
        <v/>
      </c>
      <c r="AB7" s="75" t="str">
        <f>IF('[1]ATTENDANCE RECORD SUMMARY'!F14="","",IFERROR(VLOOKUP(C17,'[1]ATTENDANCE RECORD SUMMARY'!$C$14:$P$114,14,0),""))</f>
        <v/>
      </c>
      <c r="AC7" s="76">
        <f>SUM(R7:AB8)</f>
        <v>0</v>
      </c>
      <c r="AD7" s="13"/>
      <c r="AE7" s="5"/>
      <c r="AF7" s="5"/>
    </row>
    <row r="8" spans="1:32" ht="15.75" customHeight="1" x14ac:dyDescent="0.35">
      <c r="A8" s="18"/>
      <c r="B8" s="51" t="s">
        <v>78</v>
      </c>
      <c r="C8" s="46"/>
      <c r="D8" s="46"/>
      <c r="E8" s="46"/>
      <c r="F8" s="46"/>
      <c r="G8" s="46"/>
      <c r="H8" s="46"/>
      <c r="I8" s="46"/>
      <c r="J8" s="46"/>
      <c r="K8" s="46"/>
      <c r="L8" s="16"/>
      <c r="M8" s="15"/>
      <c r="N8" s="15"/>
      <c r="O8" s="15"/>
      <c r="P8" s="14"/>
      <c r="Q8" s="87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13"/>
      <c r="AE8" s="5"/>
      <c r="AF8" s="5"/>
    </row>
    <row r="9" spans="1:32" ht="15.75" customHeight="1" x14ac:dyDescent="0.3">
      <c r="A9" s="14"/>
      <c r="B9" s="45" t="s">
        <v>79</v>
      </c>
      <c r="C9" s="46"/>
      <c r="D9" s="46"/>
      <c r="E9" s="46"/>
      <c r="F9" s="46"/>
      <c r="G9" s="46"/>
      <c r="H9" s="46"/>
      <c r="I9" s="46"/>
      <c r="J9" s="46"/>
      <c r="K9" s="46"/>
      <c r="L9" s="16"/>
      <c r="M9" s="15"/>
      <c r="N9" s="15"/>
      <c r="O9" s="15"/>
      <c r="P9" s="14"/>
      <c r="Q9" s="86" t="s">
        <v>17</v>
      </c>
      <c r="R9" s="75" t="str">
        <f t="shared" ref="R9:AB9" si="0">IF(R7="","",ABS(R5-R7))</f>
        <v/>
      </c>
      <c r="S9" s="75" t="str">
        <f t="shared" si="0"/>
        <v/>
      </c>
      <c r="T9" s="75" t="str">
        <f t="shared" si="0"/>
        <v/>
      </c>
      <c r="U9" s="75" t="str">
        <f t="shared" si="0"/>
        <v/>
      </c>
      <c r="V9" s="75" t="str">
        <f t="shared" si="0"/>
        <v/>
      </c>
      <c r="W9" s="75" t="str">
        <f t="shared" si="0"/>
        <v/>
      </c>
      <c r="X9" s="75" t="str">
        <f t="shared" si="0"/>
        <v/>
      </c>
      <c r="Y9" s="75" t="str">
        <f t="shared" si="0"/>
        <v/>
      </c>
      <c r="Z9" s="75" t="str">
        <f t="shared" si="0"/>
        <v/>
      </c>
      <c r="AA9" s="75" t="str">
        <f t="shared" si="0"/>
        <v/>
      </c>
      <c r="AB9" s="75" t="str">
        <f t="shared" si="0"/>
        <v/>
      </c>
      <c r="AC9" s="76">
        <f>ABS(AC5-AC7)</f>
        <v>0</v>
      </c>
      <c r="AD9" s="13"/>
      <c r="AE9" s="5"/>
      <c r="AF9" s="5"/>
    </row>
    <row r="10" spans="1:32" ht="11.4" customHeight="1" x14ac:dyDescent="0.3">
      <c r="A10" s="14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16"/>
      <c r="M10" s="15"/>
      <c r="N10" s="15"/>
      <c r="O10" s="15"/>
      <c r="P10" s="14"/>
      <c r="Q10" s="87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13"/>
      <c r="AE10" s="5"/>
      <c r="AF10" s="5"/>
    </row>
    <row r="11" spans="1:32" ht="3.75" customHeight="1" x14ac:dyDescent="0.3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2"/>
      <c r="M11" s="11"/>
      <c r="N11" s="11"/>
      <c r="O11" s="11"/>
      <c r="P11" s="10"/>
      <c r="Q11" s="11"/>
      <c r="R11" s="11"/>
      <c r="S11" s="11"/>
      <c r="T11" s="5"/>
      <c r="U11" s="5"/>
      <c r="V11" s="5"/>
      <c r="W11" s="5"/>
      <c r="X11" s="5"/>
      <c r="Y11" s="5"/>
      <c r="Z11" s="5"/>
      <c r="AA11" s="5"/>
      <c r="AB11" s="5"/>
      <c r="AC11" s="5"/>
      <c r="AD11" s="13"/>
      <c r="AE11" s="5"/>
      <c r="AF11" s="5"/>
    </row>
    <row r="12" spans="1:32" ht="15.75" customHeight="1" x14ac:dyDescent="0.3">
      <c r="A12" s="17"/>
      <c r="B12" s="49" t="s">
        <v>81</v>
      </c>
      <c r="C12" s="46"/>
      <c r="D12" s="46"/>
      <c r="E12" s="46"/>
      <c r="F12" s="46"/>
      <c r="G12" s="46"/>
      <c r="H12" s="46"/>
      <c r="I12" s="46"/>
      <c r="J12" s="46"/>
      <c r="K12" s="46"/>
      <c r="L12" s="21"/>
      <c r="M12" s="22"/>
      <c r="N12" s="22"/>
      <c r="O12" s="22"/>
      <c r="P12" s="23"/>
      <c r="Q12" s="22"/>
      <c r="R12" s="15"/>
      <c r="S12" s="15"/>
      <c r="T12" s="5"/>
      <c r="U12" s="5"/>
      <c r="V12" s="5"/>
      <c r="W12" s="5"/>
      <c r="X12" s="5"/>
      <c r="Y12" s="5"/>
      <c r="Z12" s="5"/>
      <c r="AA12" s="5"/>
      <c r="AB12" s="5"/>
      <c r="AC12" s="5"/>
      <c r="AD12" s="13"/>
      <c r="AE12" s="5"/>
      <c r="AF12" s="5"/>
    </row>
    <row r="13" spans="1:32" ht="3.75" customHeight="1" x14ac:dyDescent="0.3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2"/>
      <c r="M13" s="11"/>
      <c r="N13" s="11"/>
      <c r="O13" s="11"/>
      <c r="P13" s="10"/>
      <c r="Q13" s="11"/>
      <c r="R13" s="11"/>
      <c r="S13" s="11"/>
      <c r="T13" s="5"/>
      <c r="U13" s="5"/>
      <c r="V13" s="5"/>
      <c r="W13" s="5"/>
      <c r="X13" s="5"/>
      <c r="Y13" s="5"/>
      <c r="Z13" s="5"/>
      <c r="AA13" s="5"/>
      <c r="AB13" s="5"/>
      <c r="AC13" s="5"/>
      <c r="AD13" s="13"/>
      <c r="AE13" s="5"/>
      <c r="AF13" s="5"/>
    </row>
    <row r="14" spans="1:32" ht="15.75" customHeight="1" x14ac:dyDescent="0.35">
      <c r="A14" s="18"/>
      <c r="B14" s="51" t="s">
        <v>18</v>
      </c>
      <c r="C14" s="46"/>
      <c r="D14" s="46"/>
      <c r="E14" s="46"/>
      <c r="F14" s="46"/>
      <c r="G14" s="46"/>
      <c r="H14" s="46"/>
      <c r="I14" s="46"/>
      <c r="J14" s="46"/>
      <c r="K14" s="46"/>
      <c r="L14" s="24"/>
      <c r="M14" s="19"/>
      <c r="N14" s="19"/>
      <c r="O14" s="19"/>
      <c r="P14" s="18"/>
      <c r="Q14" s="51" t="s">
        <v>19</v>
      </c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13"/>
      <c r="AE14" s="5"/>
      <c r="AF14" s="5"/>
    </row>
    <row r="15" spans="1:32" ht="16.2" customHeight="1" x14ac:dyDescent="0.3">
      <c r="A15" s="14"/>
      <c r="B15" s="45" t="s">
        <v>80</v>
      </c>
      <c r="C15" s="46"/>
      <c r="D15" s="46"/>
      <c r="E15" s="46"/>
      <c r="F15" s="46"/>
      <c r="G15" s="46"/>
      <c r="H15" s="46"/>
      <c r="I15" s="46"/>
      <c r="J15" s="46"/>
      <c r="K15" s="46"/>
      <c r="L15" s="21"/>
      <c r="M15" s="22"/>
      <c r="N15" s="22"/>
      <c r="O15" s="15"/>
      <c r="P15" s="14"/>
      <c r="Q15" s="77" t="s">
        <v>20</v>
      </c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9"/>
      <c r="AD15" s="13"/>
      <c r="AE15" s="5"/>
      <c r="AF15" s="5"/>
    </row>
    <row r="16" spans="1:32" ht="15.75" customHeight="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2"/>
      <c r="M16" s="11"/>
      <c r="N16" s="11"/>
      <c r="O16" s="15"/>
      <c r="P16" s="14"/>
      <c r="Q16" s="80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2"/>
      <c r="AD16" s="13"/>
      <c r="AE16" s="5"/>
      <c r="AF16" s="5"/>
    </row>
    <row r="17" spans="1:32" ht="15.75" customHeight="1" x14ac:dyDescent="0.3">
      <c r="A17" s="23"/>
      <c r="B17" s="22" t="s">
        <v>21</v>
      </c>
      <c r="C17" s="73" t="s">
        <v>22</v>
      </c>
      <c r="D17" s="48"/>
      <c r="E17" s="48"/>
      <c r="F17" s="48"/>
      <c r="G17" s="48"/>
      <c r="H17" s="22" t="s">
        <v>23</v>
      </c>
      <c r="I17" s="25"/>
      <c r="J17" s="22" t="s">
        <v>24</v>
      </c>
      <c r="K17" s="25"/>
      <c r="L17" s="26"/>
      <c r="M17" s="27"/>
      <c r="N17" s="27"/>
      <c r="O17" s="15"/>
      <c r="P17" s="14"/>
      <c r="Q17" s="80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2"/>
      <c r="AD17" s="13"/>
      <c r="AE17" s="5"/>
      <c r="AF17" s="5"/>
    </row>
    <row r="18" spans="1:32" ht="15.75" customHeight="1" x14ac:dyDescent="0.3">
      <c r="A18" s="23"/>
      <c r="B18" s="22" t="s">
        <v>25</v>
      </c>
      <c r="C18" s="74"/>
      <c r="D18" s="53"/>
      <c r="E18" s="53"/>
      <c r="F18" s="28"/>
      <c r="G18" s="29"/>
      <c r="H18" s="22" t="s">
        <v>26</v>
      </c>
      <c r="I18" s="25" t="str">
        <f>'[1]TERM 1 SUMMARY'!G9</f>
        <v/>
      </c>
      <c r="J18" s="22" t="s">
        <v>27</v>
      </c>
      <c r="K18" s="25" t="str">
        <f>'[1]TERM 1 SUMMARY'!G10</f>
        <v/>
      </c>
      <c r="L18" s="13"/>
      <c r="M18" s="5"/>
      <c r="N18" s="5"/>
      <c r="O18" s="15"/>
      <c r="P18" s="14"/>
      <c r="Q18" s="83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5"/>
      <c r="AD18" s="13"/>
      <c r="AE18" s="5"/>
      <c r="AF18" s="5"/>
    </row>
    <row r="19" spans="1:32" ht="15.75" customHeight="1" x14ac:dyDescent="0.3">
      <c r="A19" s="10"/>
      <c r="B19" s="11" t="s">
        <v>28</v>
      </c>
      <c r="C19" s="11"/>
      <c r="D19" s="11"/>
      <c r="E19" s="30"/>
      <c r="F19" s="30"/>
      <c r="G19" s="5"/>
      <c r="H19" s="5"/>
      <c r="I19" s="5"/>
      <c r="J19" s="5"/>
      <c r="K19" s="5"/>
      <c r="L19" s="13"/>
      <c r="M19" s="5"/>
      <c r="N19" s="5"/>
      <c r="O19" s="11"/>
      <c r="P19" s="10"/>
      <c r="Q19" s="77" t="s">
        <v>29</v>
      </c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9"/>
      <c r="AD19" s="13"/>
      <c r="AE19" s="5"/>
      <c r="AF19" s="5"/>
    </row>
    <row r="20" spans="1:32" ht="10.199999999999999" customHeight="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2"/>
      <c r="M20" s="11"/>
      <c r="N20" s="11"/>
      <c r="O20" s="11"/>
      <c r="P20" s="10"/>
      <c r="Q20" s="80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2"/>
      <c r="AD20" s="13"/>
      <c r="AE20" s="5"/>
      <c r="AF20" s="5"/>
    </row>
    <row r="21" spans="1:32" ht="15.75" customHeight="1" x14ac:dyDescent="0.3">
      <c r="A21" s="31"/>
      <c r="B21" s="71" t="s">
        <v>30</v>
      </c>
      <c r="C21" s="46"/>
      <c r="D21" s="33"/>
      <c r="E21" s="32"/>
      <c r="F21" s="32"/>
      <c r="G21" s="32"/>
      <c r="H21" s="32"/>
      <c r="I21" s="32"/>
      <c r="J21" s="32"/>
      <c r="K21" s="32"/>
      <c r="L21" s="34"/>
      <c r="M21" s="32"/>
      <c r="N21" s="32"/>
      <c r="O21" s="32"/>
      <c r="P21" s="31"/>
      <c r="Q21" s="80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2"/>
      <c r="AD21" s="13"/>
      <c r="AE21" s="5"/>
      <c r="AF21" s="5"/>
    </row>
    <row r="22" spans="1:32" ht="15.75" customHeight="1" x14ac:dyDescent="0.3">
      <c r="A22" s="10"/>
      <c r="B22" s="11"/>
      <c r="C22" s="11" t="s">
        <v>86</v>
      </c>
      <c r="D22" s="11"/>
      <c r="E22" s="11"/>
      <c r="F22" s="11"/>
      <c r="G22" s="11"/>
      <c r="H22" s="11"/>
      <c r="I22" s="11"/>
      <c r="J22" s="11"/>
      <c r="K22" s="11"/>
      <c r="L22" s="12"/>
      <c r="M22" s="11"/>
      <c r="N22" s="11"/>
      <c r="O22" s="11"/>
      <c r="P22" s="10"/>
      <c r="Q22" s="83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5"/>
      <c r="AD22" s="13"/>
      <c r="AE22" s="5"/>
      <c r="AF22" s="5"/>
    </row>
    <row r="23" spans="1:32" ht="15.75" customHeight="1" x14ac:dyDescent="0.3">
      <c r="A23" s="10"/>
      <c r="B23" s="11" t="s">
        <v>87</v>
      </c>
      <c r="C23" s="33"/>
      <c r="D23" s="33"/>
      <c r="E23" s="33"/>
      <c r="F23" s="11"/>
      <c r="G23" s="11"/>
      <c r="H23" s="11"/>
      <c r="I23" s="11"/>
      <c r="J23" s="11"/>
      <c r="K23" s="11"/>
      <c r="L23" s="12"/>
      <c r="M23" s="11"/>
      <c r="N23" s="11"/>
      <c r="O23" s="11"/>
      <c r="P23" s="10"/>
      <c r="Q23" s="77" t="s">
        <v>31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9"/>
      <c r="AD23" s="13"/>
      <c r="AE23" s="5"/>
      <c r="AF23" s="5"/>
    </row>
    <row r="24" spans="1:32" ht="15.75" customHeight="1" x14ac:dyDescent="0.3">
      <c r="A24" s="10"/>
      <c r="B24" s="11"/>
      <c r="C24" s="11" t="s">
        <v>84</v>
      </c>
      <c r="D24" s="11"/>
      <c r="E24" s="11"/>
      <c r="F24" s="11"/>
      <c r="G24" s="11"/>
      <c r="H24" s="11"/>
      <c r="I24" s="11"/>
      <c r="J24" s="11"/>
      <c r="K24" s="11"/>
      <c r="L24" s="12"/>
      <c r="M24" s="11"/>
      <c r="N24" s="11"/>
      <c r="O24" s="11"/>
      <c r="P24" s="10"/>
      <c r="Q24" s="80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2"/>
      <c r="AD24" s="13"/>
      <c r="AE24" s="5"/>
      <c r="AF24" s="5"/>
    </row>
    <row r="25" spans="1:32" ht="15.75" customHeight="1" x14ac:dyDescent="0.3">
      <c r="A25" s="10"/>
      <c r="B25" s="11" t="s">
        <v>85</v>
      </c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1"/>
      <c r="N25" s="11"/>
      <c r="O25" s="11"/>
      <c r="P25" s="10"/>
      <c r="Q25" s="80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2"/>
      <c r="AD25" s="13"/>
      <c r="AE25" s="5"/>
      <c r="AF25" s="5"/>
    </row>
    <row r="26" spans="1:32" ht="15.75" customHeight="1" x14ac:dyDescent="0.3">
      <c r="A26" s="17"/>
      <c r="B26" s="5"/>
      <c r="C26" s="5"/>
      <c r="D26" s="5"/>
      <c r="E26" s="5"/>
      <c r="F26" s="5"/>
      <c r="G26" s="5"/>
      <c r="H26" s="5"/>
      <c r="I26" s="5"/>
      <c r="J26" s="5"/>
      <c r="K26" s="5"/>
      <c r="L26" s="13"/>
      <c r="M26" s="5"/>
      <c r="N26" s="5"/>
      <c r="O26" s="5"/>
      <c r="P26" s="17"/>
      <c r="Q26" s="83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5"/>
      <c r="AD26" s="13"/>
      <c r="AE26" s="5"/>
      <c r="AF26" s="5"/>
    </row>
    <row r="27" spans="1:32" ht="15.75" customHeight="1" x14ac:dyDescent="0.35">
      <c r="A27" s="18"/>
      <c r="B27" s="47" t="str">
        <f>IF('[1]INPUT DATA'!F19="","",'[1]INPUT DATA'!F19)</f>
        <v/>
      </c>
      <c r="C27" s="48"/>
      <c r="D27" s="48"/>
      <c r="E27" s="48"/>
      <c r="F27" s="48"/>
      <c r="G27" s="33"/>
      <c r="H27" s="72" t="str">
        <f>IF('[1]INPUT DATA'!F26="","",'[1]INPUT DATA'!F26)</f>
        <v/>
      </c>
      <c r="I27" s="48"/>
      <c r="J27" s="48"/>
      <c r="K27" s="48"/>
      <c r="L27" s="24"/>
      <c r="M27" s="19"/>
      <c r="N27" s="19"/>
      <c r="O27" s="19"/>
      <c r="P27" s="18"/>
      <c r="Q27" s="19"/>
      <c r="R27" s="19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13"/>
      <c r="AE27" s="5"/>
      <c r="AF27" s="5"/>
    </row>
    <row r="28" spans="1:32" ht="15.75" customHeight="1" x14ac:dyDescent="0.3">
      <c r="A28" s="17"/>
      <c r="B28" s="45" t="s">
        <v>32</v>
      </c>
      <c r="C28" s="46"/>
      <c r="D28" s="46"/>
      <c r="E28" s="46"/>
      <c r="F28" s="46"/>
      <c r="G28" s="11"/>
      <c r="H28" s="45" t="s">
        <v>33</v>
      </c>
      <c r="I28" s="46"/>
      <c r="J28" s="46"/>
      <c r="K28" s="46"/>
      <c r="L28" s="13"/>
      <c r="M28" s="5"/>
      <c r="N28" s="5"/>
      <c r="O28" s="5"/>
      <c r="P28" s="17"/>
      <c r="Q28" s="49" t="s">
        <v>34</v>
      </c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13"/>
      <c r="AE28" s="5"/>
      <c r="AF28" s="5"/>
    </row>
    <row r="29" spans="1:32" ht="25.5" customHeight="1" x14ac:dyDescent="0.35">
      <c r="A29" s="35"/>
      <c r="B29" s="51" t="s">
        <v>35</v>
      </c>
      <c r="C29" s="46"/>
      <c r="D29" s="46"/>
      <c r="E29" s="46"/>
      <c r="F29" s="46"/>
      <c r="G29" s="46"/>
      <c r="H29" s="46"/>
      <c r="I29" s="46"/>
      <c r="J29" s="46"/>
      <c r="K29" s="46"/>
      <c r="L29" s="36"/>
      <c r="M29" s="20"/>
      <c r="N29" s="20"/>
      <c r="O29" s="20"/>
      <c r="P29" s="35"/>
      <c r="Q29" s="11"/>
      <c r="R29" s="69" t="s">
        <v>20</v>
      </c>
      <c r="S29" s="46"/>
      <c r="T29" s="37"/>
      <c r="U29" s="37"/>
      <c r="V29" s="37"/>
      <c r="W29" s="37"/>
      <c r="X29" s="37"/>
      <c r="Y29" s="37"/>
      <c r="Z29" s="37"/>
      <c r="AA29" s="37"/>
      <c r="AB29" s="37"/>
      <c r="AC29" s="5"/>
      <c r="AD29" s="13"/>
      <c r="AE29" s="5"/>
      <c r="AF29" s="5"/>
    </row>
    <row r="30" spans="1:32" ht="25.5" customHeight="1" x14ac:dyDescent="0.35">
      <c r="A30" s="35"/>
      <c r="B30" s="65" t="s">
        <v>36</v>
      </c>
      <c r="C30" s="58"/>
      <c r="D30" s="58"/>
      <c r="E30" s="60"/>
      <c r="F30" s="55" t="s">
        <v>37</v>
      </c>
      <c r="G30" s="53"/>
      <c r="H30" s="54"/>
      <c r="I30" s="70" t="s">
        <v>38</v>
      </c>
      <c r="J30" s="65" t="s">
        <v>39</v>
      </c>
      <c r="K30" s="60"/>
      <c r="L30" s="36"/>
      <c r="M30" s="20"/>
      <c r="N30" s="20"/>
      <c r="O30" s="20"/>
      <c r="P30" s="35"/>
      <c r="Q30" s="11"/>
      <c r="R30" s="69" t="s">
        <v>29</v>
      </c>
      <c r="S30" s="46"/>
      <c r="T30" s="37"/>
      <c r="U30" s="37"/>
      <c r="V30" s="37"/>
      <c r="W30" s="37"/>
      <c r="X30" s="37"/>
      <c r="Y30" s="37"/>
      <c r="Z30" s="37"/>
      <c r="AA30" s="37"/>
      <c r="AB30" s="37"/>
      <c r="AC30" s="5"/>
      <c r="AD30" s="13"/>
      <c r="AE30" s="5"/>
      <c r="AF30" s="5"/>
    </row>
    <row r="31" spans="1:32" ht="25.5" customHeight="1" x14ac:dyDescent="0.35">
      <c r="A31" s="31"/>
      <c r="B31" s="61"/>
      <c r="C31" s="48"/>
      <c r="D31" s="48"/>
      <c r="E31" s="62"/>
      <c r="F31" s="4" t="s">
        <v>40</v>
      </c>
      <c r="G31" s="4" t="s">
        <v>41</v>
      </c>
      <c r="H31" s="4" t="s">
        <v>42</v>
      </c>
      <c r="I31" s="64"/>
      <c r="J31" s="61"/>
      <c r="K31" s="62"/>
      <c r="L31" s="12"/>
      <c r="M31" s="11"/>
      <c r="N31" s="11"/>
      <c r="O31" s="11"/>
      <c r="P31" s="10"/>
      <c r="Q31" s="11"/>
      <c r="R31" s="69" t="s">
        <v>31</v>
      </c>
      <c r="S31" s="46"/>
      <c r="T31" s="37"/>
      <c r="U31" s="37"/>
      <c r="V31" s="37"/>
      <c r="W31" s="37"/>
      <c r="X31" s="37"/>
      <c r="Y31" s="37"/>
      <c r="Z31" s="37"/>
      <c r="AA31" s="37"/>
      <c r="AB31" s="37"/>
      <c r="AC31" s="5"/>
      <c r="AD31" s="13"/>
      <c r="AE31" s="5"/>
      <c r="AF31" s="5"/>
    </row>
    <row r="32" spans="1:32" ht="25.5" customHeight="1" x14ac:dyDescent="0.3">
      <c r="A32" s="38"/>
      <c r="B32" s="68" t="s">
        <v>43</v>
      </c>
      <c r="C32" s="53"/>
      <c r="D32" s="53"/>
      <c r="E32" s="54"/>
      <c r="F32" s="1" t="str">
        <f>IF(C17="","",IFERROR(VLOOKUP(C17,'[1]TERM 1 SUMMARY'!$C$15:$U$115,9,0),""))</f>
        <v/>
      </c>
      <c r="G32" s="1" t="str">
        <f>IF(C17="","",IFERROR(VLOOKUP(C17,'[1]TERM 2 SUMMARY'!$C$15:$U$115,9,0),""))</f>
        <v/>
      </c>
      <c r="H32" s="1" t="str">
        <f>IF(C17="","",IFERROR(VLOOKUP(C17,'[1]TERM 3 SUMMARY'!$C$15:$U$115,9,0),""))</f>
        <v/>
      </c>
      <c r="I32" s="2" t="str">
        <f t="shared" ref="I32:I41" si="1">IF(COUNT(F32:H32)&lt;3,"",ROUND(AVERAGE(F32:H32),0))</f>
        <v/>
      </c>
      <c r="J32" s="67" t="str">
        <f t="shared" ref="J32:J39" si="2">IF(I32="", "", IF(I32&gt;=75, "Passed", "Failed"))</f>
        <v/>
      </c>
      <c r="K32" s="54"/>
      <c r="L32" s="12"/>
      <c r="M32" s="11"/>
      <c r="N32" s="11"/>
      <c r="O32" s="11"/>
      <c r="P32" s="10"/>
      <c r="Q32" s="11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5"/>
      <c r="AD32" s="13"/>
      <c r="AE32" s="5"/>
      <c r="AF32" s="5"/>
    </row>
    <row r="33" spans="1:32" ht="25.5" customHeight="1" x14ac:dyDescent="0.3">
      <c r="A33" s="38"/>
      <c r="B33" s="66" t="s">
        <v>44</v>
      </c>
      <c r="C33" s="53"/>
      <c r="D33" s="53"/>
      <c r="E33" s="54"/>
      <c r="F33" s="1" t="str">
        <f>IF(C17="","",IFERROR(VLOOKUP(C17,'[1]TERM 1 SUMMARY'!$C$15:$U$115,10,0),""))</f>
        <v/>
      </c>
      <c r="G33" s="1" t="str">
        <f>IF(C17="","",IFERROR(VLOOKUP(C17,'[1]TERM 2 SUMMARY'!$C$15:$U$115,10,0),""))</f>
        <v/>
      </c>
      <c r="H33" s="1" t="str">
        <f>IF(C17="","",IFERROR(VLOOKUP(C17,'[1]TERM 3 SUMMARY'!$C$15:$U$115,10,0),""))</f>
        <v/>
      </c>
      <c r="I33" s="2" t="str">
        <f t="shared" si="1"/>
        <v/>
      </c>
      <c r="J33" s="67" t="str">
        <f t="shared" si="2"/>
        <v/>
      </c>
      <c r="K33" s="54"/>
      <c r="L33" s="12"/>
      <c r="M33" s="11"/>
      <c r="N33" s="11"/>
      <c r="O33" s="11"/>
      <c r="P33" s="10"/>
      <c r="Q33" s="49" t="s">
        <v>45</v>
      </c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13"/>
      <c r="AE33" s="5"/>
      <c r="AF33" s="5"/>
    </row>
    <row r="34" spans="1:32" ht="25.5" customHeight="1" x14ac:dyDescent="0.3">
      <c r="A34" s="38"/>
      <c r="B34" s="66" t="s">
        <v>46</v>
      </c>
      <c r="C34" s="53"/>
      <c r="D34" s="53"/>
      <c r="E34" s="54"/>
      <c r="F34" s="1" t="str">
        <f>IF(C17="","",IFERROR(VLOOKUP(C17,'[1]TERM 1 SUMMARY'!$C$15:$U$115,11,0),""))</f>
        <v/>
      </c>
      <c r="G34" s="1" t="str">
        <f>IF(C17="","",IFERROR(VLOOKUP(C17,'[1]TERM 2 SUMMARY'!$C$15:$U$115,11,0),""))</f>
        <v/>
      </c>
      <c r="H34" s="1" t="str">
        <f>IF(C17="","",IFERROR(VLOOKUP(C17,'[1]TERM 3 SUMMARY'!$C$15:$U$115,11,0),""))</f>
        <v/>
      </c>
      <c r="I34" s="2" t="str">
        <f t="shared" si="1"/>
        <v/>
      </c>
      <c r="J34" s="67" t="str">
        <f t="shared" si="2"/>
        <v/>
      </c>
      <c r="K34" s="54"/>
      <c r="L34" s="12"/>
      <c r="M34" s="11"/>
      <c r="N34" s="11"/>
      <c r="O34" s="11"/>
      <c r="P34" s="10"/>
      <c r="Q34" s="11" t="s">
        <v>82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3"/>
      <c r="AE34" s="5"/>
      <c r="AF34" s="5"/>
    </row>
    <row r="35" spans="1:32" ht="25.5" customHeight="1" x14ac:dyDescent="0.3">
      <c r="A35" s="38"/>
      <c r="B35" s="66" t="s">
        <v>47</v>
      </c>
      <c r="C35" s="53"/>
      <c r="D35" s="53"/>
      <c r="E35" s="54"/>
      <c r="F35" s="1" t="str">
        <f>IF(C17="","",IFERROR(VLOOKUP(C17,'[1]TERM 1 SUMMARY'!$C$15:$U$115,12,0),""))</f>
        <v/>
      </c>
      <c r="G35" s="1" t="str">
        <f>IF(C17="","",IFERROR(VLOOKUP(C17,'[1]TERM 2 SUMMARY'!$C$15:$U$115,12,0),""))</f>
        <v/>
      </c>
      <c r="H35" s="1" t="str">
        <f>IF(C17="","",IFERROR(VLOOKUP(C17,'[1]TERM 3 SUMMARY'!$C$15:$U$115,12,0),""))</f>
        <v/>
      </c>
      <c r="I35" s="2" t="str">
        <f t="shared" si="1"/>
        <v/>
      </c>
      <c r="J35" s="67" t="str">
        <f t="shared" si="2"/>
        <v/>
      </c>
      <c r="K35" s="54"/>
      <c r="L35" s="12"/>
      <c r="M35" s="11"/>
      <c r="N35" s="11"/>
      <c r="O35" s="11"/>
      <c r="P35" s="10"/>
      <c r="Q35" s="11" t="s">
        <v>83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3"/>
      <c r="AE35" s="5" t="str">
        <f>IF(COUNT(F31:H31)=0,"",ROUND((F31+G31+H31)/3,0))</f>
        <v/>
      </c>
      <c r="AF35" s="5"/>
    </row>
    <row r="36" spans="1:32" ht="25.5" customHeight="1" x14ac:dyDescent="0.3">
      <c r="A36" s="38"/>
      <c r="B36" s="66" t="s">
        <v>48</v>
      </c>
      <c r="C36" s="53"/>
      <c r="D36" s="53"/>
      <c r="E36" s="54"/>
      <c r="F36" s="1" t="str">
        <f>IF(C17="","",IFERROR(VLOOKUP(C17,'[1]TERM 1 SUMMARY'!$C$15:$U$115,13,0),""))</f>
        <v/>
      </c>
      <c r="G36" s="1" t="str">
        <f>IF(C17="","",IFERROR(VLOOKUP(C17,'[1]TERM 2 SUMMARY'!$C$15:$U$115,13,0),""))</f>
        <v/>
      </c>
      <c r="H36" s="1" t="str">
        <f>IF(C17="","",IFERROR(VLOOKUP(C17,'[1]TERM 3 SUMMARY'!$C$15:$U$115,13,0),""))</f>
        <v/>
      </c>
      <c r="I36" s="2" t="str">
        <f t="shared" si="1"/>
        <v/>
      </c>
      <c r="J36" s="67" t="str">
        <f t="shared" si="2"/>
        <v/>
      </c>
      <c r="K36" s="54"/>
      <c r="L36" s="12"/>
      <c r="M36" s="11"/>
      <c r="N36" s="11"/>
      <c r="O36" s="11"/>
      <c r="P36" s="10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3"/>
      <c r="AE36" s="5"/>
      <c r="AF36" s="5"/>
    </row>
    <row r="37" spans="1:32" ht="25.5" customHeight="1" x14ac:dyDescent="0.3">
      <c r="A37" s="38"/>
      <c r="B37" s="66" t="s">
        <v>49</v>
      </c>
      <c r="C37" s="53"/>
      <c r="D37" s="53"/>
      <c r="E37" s="54"/>
      <c r="F37" s="1"/>
      <c r="G37" s="1" t="str">
        <f>IF(C17="","",IFERROR(VLOOKUP(C17,'[1]TERM 2 SUMMARY'!$C$15:$U$115,14,0),""))</f>
        <v/>
      </c>
      <c r="H37" s="1" t="str">
        <f>IF(C17="","",IFERROR(VLOOKUP(C17,'[1]TERM 3 SUMMARY'!$C$15:$U$115,14,0),""))</f>
        <v/>
      </c>
      <c r="I37" s="2" t="str">
        <f t="shared" si="1"/>
        <v/>
      </c>
      <c r="J37" s="67" t="str">
        <f t="shared" si="2"/>
        <v/>
      </c>
      <c r="K37" s="54"/>
      <c r="L37" s="12"/>
      <c r="M37" s="11"/>
      <c r="N37" s="11"/>
      <c r="O37" s="11"/>
      <c r="P37" s="10"/>
      <c r="Q37" s="11" t="s">
        <v>50</v>
      </c>
      <c r="R37" s="11"/>
      <c r="S37" s="30"/>
      <c r="T37" s="30"/>
      <c r="U37" s="11"/>
      <c r="V37" s="11"/>
      <c r="W37" s="11"/>
      <c r="X37" s="11"/>
      <c r="Y37" s="11"/>
      <c r="Z37" s="11"/>
      <c r="AA37" s="11"/>
      <c r="AB37" s="11"/>
      <c r="AC37" s="11"/>
      <c r="AD37" s="13"/>
      <c r="AE37" s="5"/>
      <c r="AF37" s="5"/>
    </row>
    <row r="38" spans="1:32" ht="25.5" customHeight="1" x14ac:dyDescent="0.3">
      <c r="A38" s="38"/>
      <c r="B38" s="66" t="s">
        <v>51</v>
      </c>
      <c r="C38" s="53"/>
      <c r="D38" s="53"/>
      <c r="E38" s="54"/>
      <c r="F38" s="3" t="str">
        <f>IF(C17="","",IFERROR(VLOOKUP(C17,'[1]TERM 1 SUMMARY'!$C$15:$U$115,15,0),""))</f>
        <v/>
      </c>
      <c r="G38" s="3" t="str">
        <f>IF(C17="","",IFERROR(VLOOKUP(C17,'[1]TERM 2 SUMMARY'!$C$15:$U$115,15,0),""))</f>
        <v/>
      </c>
      <c r="H38" s="3" t="str">
        <f>IF(C17="","",IFERROR(VLOOKUP(C17,'[1]TERM 3 SUMMARY'!$C$15:$U$115,15,0),""))</f>
        <v/>
      </c>
      <c r="I38" s="2" t="str">
        <f t="shared" si="1"/>
        <v/>
      </c>
      <c r="J38" s="67" t="str">
        <f t="shared" si="2"/>
        <v/>
      </c>
      <c r="K38" s="54"/>
      <c r="L38" s="12"/>
      <c r="M38" s="11"/>
      <c r="N38" s="11"/>
      <c r="O38" s="11"/>
      <c r="P38" s="10"/>
      <c r="Q38" s="11" t="s">
        <v>52</v>
      </c>
      <c r="R38" s="11"/>
      <c r="S38" s="11"/>
      <c r="T38" s="11"/>
      <c r="U38" s="30"/>
      <c r="V38" s="30"/>
      <c r="W38" s="30"/>
      <c r="X38" s="30"/>
      <c r="Y38" s="11"/>
      <c r="Z38" s="11"/>
      <c r="AA38" s="11"/>
      <c r="AB38" s="11"/>
      <c r="AC38" s="11"/>
      <c r="AD38" s="13"/>
      <c r="AE38" s="5"/>
      <c r="AF38" s="5"/>
    </row>
    <row r="39" spans="1:32" ht="25.5" customHeight="1" x14ac:dyDescent="0.3">
      <c r="A39" s="39"/>
      <c r="B39" s="66" t="s">
        <v>53</v>
      </c>
      <c r="C39" s="53"/>
      <c r="D39" s="53"/>
      <c r="E39" s="54"/>
      <c r="F39" s="1" t="str">
        <f>IF(C17="","",IFERROR(VLOOKUP(C17,'[1]TERM 1 SUMMARY'!$C$15:$U$115,18,0),""))</f>
        <v/>
      </c>
      <c r="G39" s="1" t="str">
        <f>IF(C17="","",IFERROR(VLOOKUP(C17,'[1]TERM 2 SUMMARY'!$C$15:$U$115,18,0),""))</f>
        <v/>
      </c>
      <c r="H39" s="1" t="str">
        <f>IF(C17="","",IFERROR(VLOOKUP(C17,'[1]TERM 3 SUMMARY'!$C$15:$U$115,18,0),""))</f>
        <v/>
      </c>
      <c r="I39" s="2" t="str">
        <f t="shared" si="1"/>
        <v/>
      </c>
      <c r="J39" s="67" t="str">
        <f t="shared" si="2"/>
        <v/>
      </c>
      <c r="K39" s="54"/>
      <c r="L39" s="13"/>
      <c r="M39" s="5"/>
      <c r="N39" s="5"/>
      <c r="O39" s="5"/>
      <c r="P39" s="17"/>
      <c r="Q39" s="11"/>
      <c r="R39" s="11"/>
      <c r="S39" s="11"/>
      <c r="T39" s="11"/>
      <c r="U39" s="11"/>
      <c r="V39" s="11"/>
      <c r="W39" s="11"/>
      <c r="X39" s="49"/>
      <c r="Y39" s="46"/>
      <c r="Z39" s="46"/>
      <c r="AA39" s="46"/>
      <c r="AB39" s="46"/>
      <c r="AC39" s="11"/>
      <c r="AD39" s="13"/>
      <c r="AE39" s="5"/>
      <c r="AF39" s="5"/>
    </row>
    <row r="40" spans="1:32" ht="25.5" customHeight="1" x14ac:dyDescent="0.35">
      <c r="A40" s="39"/>
      <c r="B40" s="52" t="s">
        <v>54</v>
      </c>
      <c r="C40" s="53"/>
      <c r="D40" s="53"/>
      <c r="E40" s="54"/>
      <c r="F40" s="1" t="str">
        <f>IF(C17="","",IFERROR(VLOOKUP(C17,'[1]TERM 1 SUMMARY'!$C$15:$U$115,16,0),""))</f>
        <v/>
      </c>
      <c r="G40" s="1" t="str">
        <f>IF(C17="","",IFERROR(VLOOKUP(C17,'[1]TERM 2 SUMMARY'!$C$15:$U$115,16,0),""))</f>
        <v/>
      </c>
      <c r="H40" s="1" t="str">
        <f>IF(C17="","",IFERROR(VLOOKUP(C17,'[1]TERM 3 SUMMARY'!$C$15:$U$115,16,0),""))</f>
        <v/>
      </c>
      <c r="I40" s="2" t="str">
        <f t="shared" si="1"/>
        <v/>
      </c>
      <c r="J40" s="67"/>
      <c r="K40" s="54"/>
      <c r="L40" s="13"/>
      <c r="M40" s="5"/>
      <c r="N40" s="5"/>
      <c r="O40" s="5"/>
      <c r="P40" s="17"/>
      <c r="Q40" s="11" t="s">
        <v>55</v>
      </c>
      <c r="R40" s="49"/>
      <c r="S40" s="46"/>
      <c r="T40" s="46"/>
      <c r="U40" s="46"/>
      <c r="V40" s="11"/>
      <c r="W40" s="11"/>
      <c r="X40" s="47" t="str">
        <f>IF('[1]INPUT DATA'!F26="","",'[1]INPUT DATA'!F26)</f>
        <v/>
      </c>
      <c r="Y40" s="48"/>
      <c r="Z40" s="48"/>
      <c r="AA40" s="48"/>
      <c r="AB40" s="48"/>
      <c r="AC40" s="48"/>
      <c r="AD40" s="13"/>
      <c r="AE40" s="5"/>
      <c r="AF40" s="5"/>
    </row>
    <row r="41" spans="1:32" ht="32.4" customHeight="1" x14ac:dyDescent="0.35">
      <c r="A41" s="40"/>
      <c r="B41" s="52" t="s">
        <v>56</v>
      </c>
      <c r="C41" s="53"/>
      <c r="D41" s="53"/>
      <c r="E41" s="54"/>
      <c r="F41" s="3" t="str">
        <f>IF(C17="","",IFERROR(VLOOKUP(C17,'[1]TERM 1 SUMMARY'!$C$15:$U$115,17,0),""))</f>
        <v/>
      </c>
      <c r="G41" s="3" t="str">
        <f>IF(C17="","",IFERROR(VLOOKUP(C17,'[1]TERM 2 SUMMARY'!$C$15:$U$115,17,0),""))</f>
        <v/>
      </c>
      <c r="H41" s="3" t="str">
        <f>IF(C17="","",IFERROR(VLOOKUP(C17,'[1]TERM 3 SUMMARY'!$C$15:$U$115,17,0),""))</f>
        <v/>
      </c>
      <c r="I41" s="2" t="str">
        <f t="shared" si="1"/>
        <v/>
      </c>
      <c r="J41" s="55"/>
      <c r="K41" s="54"/>
      <c r="L41" s="13"/>
      <c r="M41" s="5"/>
      <c r="N41" s="5"/>
      <c r="O41" s="5"/>
      <c r="P41" s="17"/>
      <c r="Q41" s="56" t="str">
        <f>IF('[1]INPUT DATA'!F19="","",'[1]INPUT DATA'!F19)</f>
        <v/>
      </c>
      <c r="R41" s="46"/>
      <c r="S41" s="46"/>
      <c r="T41" s="46"/>
      <c r="U41" s="46"/>
      <c r="V41" s="46"/>
      <c r="W41" s="11"/>
      <c r="X41" s="57" t="s">
        <v>33</v>
      </c>
      <c r="Y41" s="58"/>
      <c r="Z41" s="58"/>
      <c r="AA41" s="58"/>
      <c r="AB41" s="58"/>
      <c r="AC41" s="58"/>
      <c r="AD41" s="13"/>
      <c r="AE41" s="5"/>
      <c r="AF41" s="5"/>
    </row>
    <row r="42" spans="1:32" ht="15" customHeight="1" x14ac:dyDescent="0.3">
      <c r="A42" s="38"/>
      <c r="B42" s="59" t="s">
        <v>57</v>
      </c>
      <c r="C42" s="58"/>
      <c r="D42" s="58"/>
      <c r="E42" s="58"/>
      <c r="F42" s="58"/>
      <c r="G42" s="58"/>
      <c r="H42" s="60"/>
      <c r="I42" s="63" t="str">
        <f>IF(COUNT(I32:I39)=0,"",ROUND(AVERAGE(I32:I39),0))</f>
        <v/>
      </c>
      <c r="J42" s="65" t="str">
        <f>IF(I42="", "", IF(I42&gt;=75, "Passed", "Failed"))</f>
        <v/>
      </c>
      <c r="K42" s="60"/>
      <c r="L42" s="13"/>
      <c r="M42" s="5"/>
      <c r="N42" s="5"/>
      <c r="O42" s="5"/>
      <c r="P42" s="17"/>
      <c r="Q42" s="48"/>
      <c r="R42" s="48"/>
      <c r="S42" s="48"/>
      <c r="T42" s="48"/>
      <c r="U42" s="48"/>
      <c r="V42" s="48"/>
      <c r="W42" s="33"/>
      <c r="X42" s="45"/>
      <c r="Y42" s="46"/>
      <c r="Z42" s="46"/>
      <c r="AA42" s="46"/>
      <c r="AB42" s="46"/>
      <c r="AC42" s="46"/>
      <c r="AD42" s="13"/>
      <c r="AE42" s="5"/>
      <c r="AF42" s="5"/>
    </row>
    <row r="43" spans="1:32" ht="15.75" customHeight="1" x14ac:dyDescent="0.35">
      <c r="A43" s="41"/>
      <c r="B43" s="61"/>
      <c r="C43" s="48"/>
      <c r="D43" s="48"/>
      <c r="E43" s="48"/>
      <c r="F43" s="48"/>
      <c r="G43" s="48"/>
      <c r="H43" s="62"/>
      <c r="I43" s="64"/>
      <c r="J43" s="61"/>
      <c r="K43" s="62"/>
      <c r="L43" s="13"/>
      <c r="M43" s="5"/>
      <c r="N43" s="5"/>
      <c r="O43" s="5"/>
      <c r="P43" s="17"/>
      <c r="Q43" s="45" t="s">
        <v>58</v>
      </c>
      <c r="R43" s="46"/>
      <c r="S43" s="46"/>
      <c r="T43" s="46"/>
      <c r="U43" s="46"/>
      <c r="V43" s="46"/>
      <c r="W43" s="11"/>
      <c r="X43" s="45"/>
      <c r="Y43" s="46"/>
      <c r="Z43" s="46"/>
      <c r="AA43" s="46"/>
      <c r="AB43" s="46"/>
      <c r="AC43" s="46"/>
      <c r="AD43" s="13"/>
      <c r="AE43" s="5"/>
      <c r="AF43" s="5"/>
    </row>
    <row r="44" spans="1:32" ht="15.75" customHeight="1" x14ac:dyDescent="0.3">
      <c r="A44" s="10"/>
      <c r="B44" s="11"/>
      <c r="C44" s="11"/>
      <c r="D44" s="11"/>
      <c r="E44" s="11"/>
      <c r="F44" s="5"/>
      <c r="G44" s="5"/>
      <c r="H44" s="5"/>
      <c r="I44" s="5"/>
      <c r="J44" s="5"/>
      <c r="K44" s="5"/>
      <c r="L44" s="13"/>
      <c r="M44" s="5"/>
      <c r="N44" s="5"/>
      <c r="O44" s="5"/>
      <c r="P44" s="17"/>
      <c r="Q44" s="49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13"/>
      <c r="AE44" s="5"/>
      <c r="AF44" s="5"/>
    </row>
    <row r="45" spans="1:32" ht="15.75" customHeight="1" x14ac:dyDescent="0.35">
      <c r="A45" s="10"/>
      <c r="B45" s="50" t="s">
        <v>59</v>
      </c>
      <c r="C45" s="46"/>
      <c r="D45" s="46"/>
      <c r="E45" s="46"/>
      <c r="F45" s="51"/>
      <c r="G45" s="46"/>
      <c r="H45" s="19"/>
      <c r="I45" s="51"/>
      <c r="J45" s="46"/>
      <c r="K45" s="33"/>
      <c r="L45" s="13"/>
      <c r="M45" s="5"/>
      <c r="N45" s="5"/>
      <c r="O45" s="5"/>
      <c r="P45" s="17"/>
      <c r="Q45" s="49" t="s">
        <v>60</v>
      </c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13"/>
      <c r="AE45" s="5"/>
      <c r="AF45" s="5"/>
    </row>
    <row r="46" spans="1:32" ht="15.75" customHeight="1" x14ac:dyDescent="0.35">
      <c r="A46" s="10"/>
      <c r="B46" s="11"/>
      <c r="C46" s="51" t="s">
        <v>61</v>
      </c>
      <c r="D46" s="46"/>
      <c r="E46" s="46"/>
      <c r="F46" s="51" t="s">
        <v>62</v>
      </c>
      <c r="G46" s="46"/>
      <c r="H46" s="15"/>
      <c r="I46" s="51" t="s">
        <v>39</v>
      </c>
      <c r="J46" s="46"/>
      <c r="K46" s="33"/>
      <c r="L46" s="13"/>
      <c r="M46" s="5"/>
      <c r="N46" s="5"/>
      <c r="O46" s="5"/>
      <c r="P46" s="17"/>
      <c r="Q46" s="11" t="s">
        <v>63</v>
      </c>
      <c r="R46" s="30"/>
      <c r="S46" s="30"/>
      <c r="T46" s="30"/>
      <c r="U46" s="30"/>
      <c r="V46" s="30"/>
      <c r="W46" s="30"/>
      <c r="X46" s="11" t="s">
        <v>64</v>
      </c>
      <c r="Y46" s="30"/>
      <c r="Z46" s="30"/>
      <c r="AA46" s="30"/>
      <c r="AB46" s="30"/>
      <c r="AC46" s="33"/>
      <c r="AD46" s="13"/>
      <c r="AE46" s="5"/>
      <c r="AF46" s="5"/>
    </row>
    <row r="47" spans="1:32" ht="15.75" customHeight="1" x14ac:dyDescent="0.3">
      <c r="A47" s="10"/>
      <c r="B47" s="11"/>
      <c r="C47" s="45" t="s">
        <v>65</v>
      </c>
      <c r="D47" s="46"/>
      <c r="E47" s="46"/>
      <c r="F47" s="45" t="s">
        <v>66</v>
      </c>
      <c r="G47" s="46"/>
      <c r="H47" s="15"/>
      <c r="I47" s="45" t="s">
        <v>67</v>
      </c>
      <c r="J47" s="46"/>
      <c r="K47" s="33"/>
      <c r="L47" s="13"/>
      <c r="M47" s="5"/>
      <c r="N47" s="5"/>
      <c r="O47" s="5"/>
      <c r="P47" s="17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11"/>
      <c r="AD47" s="13"/>
      <c r="AE47" s="5"/>
      <c r="AF47" s="5"/>
    </row>
    <row r="48" spans="1:32" ht="15.75" customHeight="1" x14ac:dyDescent="0.3">
      <c r="A48" s="10"/>
      <c r="B48" s="11"/>
      <c r="C48" s="45" t="s">
        <v>68</v>
      </c>
      <c r="D48" s="46"/>
      <c r="E48" s="46"/>
      <c r="F48" s="45" t="s">
        <v>69</v>
      </c>
      <c r="G48" s="46"/>
      <c r="H48" s="15"/>
      <c r="I48" s="45" t="s">
        <v>67</v>
      </c>
      <c r="J48" s="46"/>
      <c r="K48" s="33"/>
      <c r="L48" s="13"/>
      <c r="M48" s="5"/>
      <c r="N48" s="5"/>
      <c r="O48" s="5"/>
      <c r="P48" s="17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3"/>
      <c r="AE48" s="5"/>
      <c r="AF48" s="5"/>
    </row>
    <row r="49" spans="1:32" ht="15.75" customHeight="1" x14ac:dyDescent="0.35">
      <c r="A49" s="10"/>
      <c r="B49" s="11"/>
      <c r="C49" s="45" t="s">
        <v>70</v>
      </c>
      <c r="D49" s="46"/>
      <c r="E49" s="46"/>
      <c r="F49" s="45" t="s">
        <v>71</v>
      </c>
      <c r="G49" s="46"/>
      <c r="H49" s="15"/>
      <c r="I49" s="45" t="s">
        <v>67</v>
      </c>
      <c r="J49" s="46"/>
      <c r="K49" s="33"/>
      <c r="L49" s="13"/>
      <c r="M49" s="5"/>
      <c r="N49" s="5"/>
      <c r="O49" s="5"/>
      <c r="P49" s="17"/>
      <c r="Q49" s="47" t="str">
        <f>IF('[1]INPUT DATA'!F19="","",'[1]INPUT DATA'!F19)</f>
        <v/>
      </c>
      <c r="R49" s="48"/>
      <c r="S49" s="48"/>
      <c r="T49" s="48"/>
      <c r="U49" s="48"/>
      <c r="V49" s="48"/>
      <c r="W49" s="11"/>
      <c r="X49" s="11"/>
      <c r="Y49" s="11"/>
      <c r="Z49" s="11"/>
      <c r="AA49" s="11"/>
      <c r="AB49" s="11"/>
      <c r="AC49" s="11"/>
      <c r="AD49" s="13"/>
      <c r="AE49" s="5"/>
      <c r="AF49" s="5"/>
    </row>
    <row r="50" spans="1:32" ht="15.75" customHeight="1" x14ac:dyDescent="0.3">
      <c r="A50" s="10"/>
      <c r="B50" s="11"/>
      <c r="C50" s="45" t="s">
        <v>72</v>
      </c>
      <c r="D50" s="46"/>
      <c r="E50" s="46"/>
      <c r="F50" s="45" t="s">
        <v>73</v>
      </c>
      <c r="G50" s="46"/>
      <c r="H50" s="15"/>
      <c r="I50" s="45" t="s">
        <v>74</v>
      </c>
      <c r="J50" s="46"/>
      <c r="K50" s="33"/>
      <c r="L50" s="13"/>
      <c r="M50" s="5"/>
      <c r="N50" s="5"/>
      <c r="O50" s="5"/>
      <c r="P50" s="17"/>
      <c r="Q50" s="45" t="s">
        <v>32</v>
      </c>
      <c r="R50" s="46"/>
      <c r="S50" s="46"/>
      <c r="T50" s="46"/>
      <c r="U50" s="46"/>
      <c r="V50" s="46"/>
      <c r="W50" s="11"/>
      <c r="X50" s="11"/>
      <c r="Y50" s="11"/>
      <c r="Z50" s="11"/>
      <c r="AA50" s="11"/>
      <c r="AB50" s="11"/>
      <c r="AC50" s="11"/>
      <c r="AD50" s="13"/>
      <c r="AE50" s="5"/>
      <c r="AF50" s="5"/>
    </row>
    <row r="51" spans="1:32" ht="15.75" customHeight="1" x14ac:dyDescent="0.3">
      <c r="A51" s="17"/>
      <c r="B51" s="5"/>
      <c r="C51" s="45" t="s">
        <v>75</v>
      </c>
      <c r="D51" s="46"/>
      <c r="E51" s="46"/>
      <c r="F51" s="45" t="s">
        <v>76</v>
      </c>
      <c r="G51" s="46"/>
      <c r="H51" s="5"/>
      <c r="I51" s="45" t="s">
        <v>74</v>
      </c>
      <c r="J51" s="46"/>
      <c r="K51" s="5"/>
      <c r="L51" s="13"/>
      <c r="M51" s="5"/>
      <c r="N51" s="5"/>
      <c r="O51" s="5"/>
      <c r="P51" s="17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3"/>
      <c r="AE51" s="5"/>
      <c r="AF51" s="5"/>
    </row>
    <row r="52" spans="1:32" ht="15.75" customHeight="1" thickBot="1" x14ac:dyDescent="0.35">
      <c r="A52" s="42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4"/>
      <c r="M52" s="5"/>
      <c r="N52" s="5"/>
      <c r="O52" s="5"/>
      <c r="P52" s="42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4"/>
      <c r="AE52" s="5"/>
      <c r="AF52" s="5"/>
    </row>
    <row r="53" spans="1:32" ht="15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5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5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5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5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5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5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5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5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5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5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5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5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5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5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5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5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5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5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5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5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5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5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5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5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5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5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5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5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5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5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5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5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5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5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5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5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5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5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5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5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5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5.75" customHeight="1" x14ac:dyDescent="0.3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</row>
    <row r="253" spans="1:32" ht="15.75" customHeight="1" x14ac:dyDescent="0.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</row>
    <row r="254" spans="1:32" ht="15.75" customHeight="1" x14ac:dyDescent="0.3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</row>
    <row r="255" spans="1:32" ht="15.75" customHeight="1" x14ac:dyDescent="0.3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</row>
    <row r="256" spans="1:32" ht="15.75" customHeight="1" x14ac:dyDescent="0.3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</row>
    <row r="257" spans="1:32" ht="15.75" customHeight="1" x14ac:dyDescent="0.3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</row>
    <row r="258" spans="1:32" ht="15.75" customHeight="1" x14ac:dyDescent="0.3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</row>
    <row r="259" spans="1:32" ht="15.75" customHeight="1" x14ac:dyDescent="0.3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</row>
    <row r="260" spans="1:32" ht="15.75" customHeight="1" x14ac:dyDescent="0.3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</row>
    <row r="261" spans="1:32" ht="15.75" customHeight="1" x14ac:dyDescent="0.3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</row>
    <row r="262" spans="1:32" ht="15.75" customHeight="1" x14ac:dyDescent="0.3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</row>
    <row r="263" spans="1:32" ht="15.75" customHeight="1" x14ac:dyDescent="0.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</row>
    <row r="264" spans="1:32" ht="15.75" customHeight="1" x14ac:dyDescent="0.3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</row>
    <row r="265" spans="1:32" ht="15.75" customHeight="1" x14ac:dyDescent="0.3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</row>
    <row r="266" spans="1:32" ht="15.75" customHeight="1" x14ac:dyDescent="0.3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</row>
    <row r="267" spans="1:32" ht="15.75" customHeight="1" x14ac:dyDescent="0.3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</row>
    <row r="268" spans="1:32" ht="15.75" customHeight="1" x14ac:dyDescent="0.3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</row>
    <row r="269" spans="1:32" ht="15.75" customHeight="1" x14ac:dyDescent="0.3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</row>
    <row r="270" spans="1:32" ht="15.75" customHeight="1" x14ac:dyDescent="0.3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</row>
    <row r="271" spans="1:32" ht="15.75" customHeight="1" x14ac:dyDescent="0.3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</row>
    <row r="272" spans="1:32" ht="15.75" customHeight="1" x14ac:dyDescent="0.3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</row>
    <row r="273" spans="1:32" ht="15.75" customHeight="1" x14ac:dyDescent="0.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</row>
    <row r="274" spans="1:32" ht="15.75" customHeight="1" x14ac:dyDescent="0.3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</row>
    <row r="275" spans="1:32" ht="15.75" customHeight="1" x14ac:dyDescent="0.3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</row>
    <row r="276" spans="1:32" ht="15.75" customHeight="1" x14ac:dyDescent="0.3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</row>
    <row r="277" spans="1:32" ht="15.75" customHeight="1" x14ac:dyDescent="0.3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</row>
    <row r="278" spans="1:32" ht="15.75" customHeight="1" x14ac:dyDescent="0.3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</row>
    <row r="279" spans="1:32" ht="15.75" customHeight="1" x14ac:dyDescent="0.3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</row>
    <row r="280" spans="1:32" ht="15.75" customHeight="1" x14ac:dyDescent="0.3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</row>
    <row r="281" spans="1:32" ht="15.75" customHeight="1" x14ac:dyDescent="0.3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</row>
    <row r="282" spans="1:32" ht="15.75" customHeight="1" x14ac:dyDescent="0.3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</row>
    <row r="283" spans="1:32" ht="15.75" customHeight="1" x14ac:dyDescent="0.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</row>
    <row r="284" spans="1:32" ht="15.75" customHeight="1" x14ac:dyDescent="0.3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</row>
    <row r="285" spans="1:32" ht="15.75" customHeight="1" x14ac:dyDescent="0.3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</row>
    <row r="286" spans="1:32" ht="15.75" customHeight="1" x14ac:dyDescent="0.3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</row>
    <row r="287" spans="1:32" ht="15.75" customHeight="1" x14ac:dyDescent="0.3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</row>
    <row r="288" spans="1:32" ht="15.75" customHeight="1" x14ac:dyDescent="0.3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</row>
    <row r="289" spans="1:32" ht="15.75" customHeight="1" x14ac:dyDescent="0.3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</row>
    <row r="290" spans="1:32" ht="15.75" customHeight="1" x14ac:dyDescent="0.3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</row>
    <row r="291" spans="1:32" ht="15.75" customHeight="1" x14ac:dyDescent="0.3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</row>
    <row r="292" spans="1:32" ht="15.75" customHeight="1" x14ac:dyDescent="0.3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</row>
    <row r="293" spans="1:32" ht="15.75" customHeight="1" x14ac:dyDescent="0.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</row>
    <row r="294" spans="1:32" ht="15.75" customHeight="1" x14ac:dyDescent="0.3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</row>
    <row r="295" spans="1:32" ht="15.75" customHeight="1" x14ac:dyDescent="0.3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</row>
    <row r="296" spans="1:32" ht="15.75" customHeight="1" x14ac:dyDescent="0.3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</row>
    <row r="297" spans="1:32" ht="15.75" customHeight="1" x14ac:dyDescent="0.3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</row>
    <row r="298" spans="1:32" ht="15.75" customHeight="1" x14ac:dyDescent="0.3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</row>
    <row r="299" spans="1:32" ht="15.75" customHeight="1" x14ac:dyDescent="0.3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</row>
    <row r="300" spans="1:32" ht="15.75" customHeight="1" x14ac:dyDescent="0.3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</row>
    <row r="301" spans="1:32" ht="15.75" customHeight="1" x14ac:dyDescent="0.3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</row>
    <row r="302" spans="1:32" ht="15.75" customHeight="1" x14ac:dyDescent="0.3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</row>
    <row r="303" spans="1:32" ht="15.75" customHeight="1" x14ac:dyDescent="0.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</row>
    <row r="304" spans="1:32" ht="15.75" customHeight="1" x14ac:dyDescent="0.3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</row>
    <row r="305" spans="1:32" ht="15.75" customHeight="1" x14ac:dyDescent="0.3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</row>
    <row r="306" spans="1:32" ht="15.75" customHeight="1" x14ac:dyDescent="0.3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</row>
    <row r="307" spans="1:32" ht="15.75" customHeight="1" x14ac:dyDescent="0.3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</row>
    <row r="308" spans="1:32" ht="15.75" customHeight="1" x14ac:dyDescent="0.3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</row>
    <row r="309" spans="1:32" ht="15.75" customHeight="1" x14ac:dyDescent="0.3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</row>
    <row r="310" spans="1:32" ht="15.75" customHeight="1" x14ac:dyDescent="0.3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</row>
    <row r="311" spans="1:32" ht="15.75" customHeight="1" x14ac:dyDescent="0.3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</row>
    <row r="312" spans="1:32" ht="15.75" customHeight="1" x14ac:dyDescent="0.3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</row>
    <row r="313" spans="1:32" ht="15.75" customHeight="1" x14ac:dyDescent="0.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</row>
    <row r="314" spans="1:32" ht="15.75" customHeight="1" x14ac:dyDescent="0.3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</row>
    <row r="315" spans="1:32" ht="15.75" customHeight="1" x14ac:dyDescent="0.3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</row>
    <row r="316" spans="1:32" ht="15.75" customHeight="1" x14ac:dyDescent="0.3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</row>
    <row r="317" spans="1:32" ht="15.75" customHeight="1" x14ac:dyDescent="0.3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</row>
    <row r="318" spans="1:32" ht="15.75" customHeight="1" x14ac:dyDescent="0.3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</row>
    <row r="319" spans="1:32" ht="15.75" customHeight="1" x14ac:dyDescent="0.3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</row>
    <row r="320" spans="1:32" ht="15.75" customHeight="1" x14ac:dyDescent="0.3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</row>
    <row r="321" spans="1:32" ht="15.75" customHeight="1" x14ac:dyDescent="0.3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</row>
    <row r="322" spans="1:32" ht="15.75" customHeight="1" x14ac:dyDescent="0.3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</row>
    <row r="323" spans="1:32" ht="15.75" customHeight="1" x14ac:dyDescent="0.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</row>
    <row r="324" spans="1:32" ht="15.75" customHeight="1" x14ac:dyDescent="0.3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</row>
    <row r="325" spans="1:32" ht="15.75" customHeight="1" x14ac:dyDescent="0.3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</row>
    <row r="326" spans="1:32" ht="15.75" customHeight="1" x14ac:dyDescent="0.3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</row>
    <row r="327" spans="1:32" ht="15.75" customHeight="1" x14ac:dyDescent="0.3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</row>
    <row r="328" spans="1:32" ht="15.75" customHeight="1" x14ac:dyDescent="0.3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</row>
    <row r="329" spans="1:32" ht="15.75" customHeight="1" x14ac:dyDescent="0.3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</row>
    <row r="330" spans="1:32" ht="15.75" customHeight="1" x14ac:dyDescent="0.3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</row>
    <row r="331" spans="1:32" ht="15.75" customHeight="1" x14ac:dyDescent="0.3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</row>
    <row r="332" spans="1:32" ht="15.75" customHeight="1" x14ac:dyDescent="0.3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</row>
    <row r="333" spans="1:32" ht="15.75" customHeight="1" x14ac:dyDescent="0.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</row>
    <row r="334" spans="1:32" ht="15.75" customHeight="1" x14ac:dyDescent="0.3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</row>
    <row r="335" spans="1:32" ht="15.75" customHeight="1" x14ac:dyDescent="0.3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</row>
    <row r="336" spans="1:32" ht="15.75" customHeight="1" x14ac:dyDescent="0.3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</row>
    <row r="337" spans="1:32" ht="15.75" customHeight="1" x14ac:dyDescent="0.3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</row>
    <row r="338" spans="1:32" ht="15.75" customHeight="1" x14ac:dyDescent="0.3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</row>
    <row r="339" spans="1:32" ht="15.75" customHeight="1" x14ac:dyDescent="0.3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</row>
    <row r="340" spans="1:32" ht="15.75" customHeight="1" x14ac:dyDescent="0.3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</row>
    <row r="341" spans="1:32" ht="15.75" customHeight="1" x14ac:dyDescent="0.3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</row>
    <row r="342" spans="1:32" ht="15.75" customHeight="1" x14ac:dyDescent="0.3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</row>
    <row r="343" spans="1:32" ht="15.75" customHeight="1" x14ac:dyDescent="0.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</row>
    <row r="344" spans="1:32" ht="15.75" customHeight="1" x14ac:dyDescent="0.3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</row>
    <row r="345" spans="1:32" ht="15.75" customHeight="1" x14ac:dyDescent="0.3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</row>
    <row r="346" spans="1:32" ht="15.75" customHeight="1" x14ac:dyDescent="0.3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</row>
    <row r="347" spans="1:32" ht="15.75" customHeight="1" x14ac:dyDescent="0.3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</row>
    <row r="348" spans="1:32" ht="15.75" customHeight="1" x14ac:dyDescent="0.3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</row>
    <row r="349" spans="1:32" ht="15.75" customHeight="1" x14ac:dyDescent="0.3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</row>
    <row r="350" spans="1:32" ht="15.75" customHeight="1" x14ac:dyDescent="0.3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</row>
    <row r="351" spans="1:32" ht="15.75" customHeight="1" x14ac:dyDescent="0.3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</row>
    <row r="352" spans="1:32" ht="15.75" customHeight="1" x14ac:dyDescent="0.3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</row>
    <row r="353" spans="1:32" ht="15.75" customHeight="1" x14ac:dyDescent="0.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</row>
    <row r="354" spans="1:32" ht="15.75" customHeight="1" x14ac:dyDescent="0.3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</row>
    <row r="355" spans="1:32" ht="15.75" customHeight="1" x14ac:dyDescent="0.3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</row>
    <row r="356" spans="1:32" ht="15.75" customHeight="1" x14ac:dyDescent="0.3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</row>
    <row r="357" spans="1:32" ht="15.75" customHeight="1" x14ac:dyDescent="0.3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</row>
    <row r="358" spans="1:32" ht="15.75" customHeight="1" x14ac:dyDescent="0.3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</row>
    <row r="359" spans="1:32" ht="15.75" customHeight="1" x14ac:dyDescent="0.3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</row>
    <row r="360" spans="1:32" ht="15.75" customHeight="1" x14ac:dyDescent="0.3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</row>
    <row r="361" spans="1:32" ht="15.75" customHeight="1" x14ac:dyDescent="0.3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</row>
    <row r="362" spans="1:32" ht="15.75" customHeight="1" x14ac:dyDescent="0.3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</row>
    <row r="363" spans="1:32" ht="15.75" customHeight="1" x14ac:dyDescent="0.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</row>
    <row r="364" spans="1:32" ht="15.75" customHeight="1" x14ac:dyDescent="0.3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</row>
    <row r="365" spans="1:32" ht="15.75" customHeight="1" x14ac:dyDescent="0.3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</row>
    <row r="366" spans="1:32" ht="15.75" customHeight="1" x14ac:dyDescent="0.3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</row>
    <row r="367" spans="1:32" ht="15.75" customHeight="1" x14ac:dyDescent="0.3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</row>
    <row r="368" spans="1:32" ht="15.75" customHeight="1" x14ac:dyDescent="0.3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</row>
    <row r="369" spans="1:32" ht="15.75" customHeight="1" x14ac:dyDescent="0.3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</row>
    <row r="370" spans="1:32" ht="15.75" customHeight="1" x14ac:dyDescent="0.3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</row>
    <row r="371" spans="1:32" ht="15.75" customHeight="1" x14ac:dyDescent="0.3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</row>
    <row r="372" spans="1:32" ht="15.75" customHeight="1" x14ac:dyDescent="0.3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</row>
    <row r="373" spans="1:32" ht="15.75" customHeight="1" x14ac:dyDescent="0.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</row>
    <row r="374" spans="1:32" ht="15.75" customHeight="1" x14ac:dyDescent="0.3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</row>
    <row r="375" spans="1:32" ht="15.75" customHeight="1" x14ac:dyDescent="0.3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</row>
    <row r="376" spans="1:32" ht="15.75" customHeight="1" x14ac:dyDescent="0.3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</row>
    <row r="377" spans="1:32" ht="15.75" customHeight="1" x14ac:dyDescent="0.3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</row>
    <row r="378" spans="1:32" ht="15.75" customHeight="1" x14ac:dyDescent="0.3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</row>
    <row r="379" spans="1:32" ht="15.75" customHeight="1" x14ac:dyDescent="0.3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</row>
    <row r="380" spans="1:32" ht="15.75" customHeight="1" x14ac:dyDescent="0.3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</row>
    <row r="381" spans="1:32" ht="15.75" customHeight="1" x14ac:dyDescent="0.3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</row>
    <row r="382" spans="1:32" ht="15.75" customHeight="1" x14ac:dyDescent="0.3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</row>
    <row r="383" spans="1:32" ht="15.75" customHeight="1" x14ac:dyDescent="0.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</row>
    <row r="384" spans="1:32" ht="15.75" customHeight="1" x14ac:dyDescent="0.3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</row>
    <row r="385" spans="1:32" ht="15.75" customHeight="1" x14ac:dyDescent="0.3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</row>
    <row r="386" spans="1:32" ht="15.75" customHeight="1" x14ac:dyDescent="0.3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</row>
    <row r="387" spans="1:32" ht="15.75" customHeight="1" x14ac:dyDescent="0.3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</row>
    <row r="388" spans="1:32" ht="15.75" customHeight="1" x14ac:dyDescent="0.3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</row>
    <row r="389" spans="1:32" ht="15.75" customHeight="1" x14ac:dyDescent="0.3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</row>
    <row r="390" spans="1:32" ht="15.75" customHeight="1" x14ac:dyDescent="0.3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</row>
    <row r="391" spans="1:32" ht="15.75" customHeight="1" x14ac:dyDescent="0.3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</row>
    <row r="392" spans="1:32" ht="15.75" customHeight="1" x14ac:dyDescent="0.3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</row>
    <row r="393" spans="1:32" ht="15.75" customHeight="1" x14ac:dyDescent="0.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</row>
    <row r="394" spans="1:32" ht="15.75" customHeight="1" x14ac:dyDescent="0.3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</row>
    <row r="395" spans="1:32" ht="15.75" customHeight="1" x14ac:dyDescent="0.3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</row>
    <row r="396" spans="1:32" ht="15.75" customHeight="1" x14ac:dyDescent="0.3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</row>
    <row r="397" spans="1:32" ht="15.75" customHeight="1" x14ac:dyDescent="0.3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</row>
    <row r="398" spans="1:32" ht="15.75" customHeight="1" x14ac:dyDescent="0.3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</row>
    <row r="399" spans="1:32" ht="15.75" customHeight="1" x14ac:dyDescent="0.3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</row>
    <row r="400" spans="1:32" ht="15.75" customHeight="1" x14ac:dyDescent="0.3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</row>
    <row r="401" spans="1:32" ht="15.75" customHeight="1" x14ac:dyDescent="0.3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</row>
    <row r="402" spans="1:32" ht="15.75" customHeight="1" x14ac:dyDescent="0.3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</row>
    <row r="403" spans="1:32" ht="15.75" customHeight="1" x14ac:dyDescent="0.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</row>
    <row r="404" spans="1:32" ht="15.75" customHeight="1" x14ac:dyDescent="0.3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</row>
    <row r="405" spans="1:32" ht="15.75" customHeight="1" x14ac:dyDescent="0.3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</row>
    <row r="406" spans="1:32" ht="15.75" customHeight="1" x14ac:dyDescent="0.3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</row>
    <row r="407" spans="1:32" ht="15.75" customHeight="1" x14ac:dyDescent="0.3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</row>
    <row r="408" spans="1:32" ht="15.75" customHeight="1" x14ac:dyDescent="0.3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</row>
    <row r="409" spans="1:32" ht="15.75" customHeight="1" x14ac:dyDescent="0.3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</row>
    <row r="410" spans="1:32" ht="15.75" customHeight="1" x14ac:dyDescent="0.3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</row>
    <row r="411" spans="1:32" ht="15.75" customHeight="1" x14ac:dyDescent="0.3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</row>
    <row r="412" spans="1:32" ht="15.75" customHeight="1" x14ac:dyDescent="0.3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</row>
    <row r="413" spans="1:32" ht="15.75" customHeight="1" x14ac:dyDescent="0.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</row>
    <row r="414" spans="1:32" ht="15.75" customHeight="1" x14ac:dyDescent="0.3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</row>
    <row r="415" spans="1:32" ht="15.75" customHeight="1" x14ac:dyDescent="0.3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</row>
    <row r="416" spans="1:32" ht="15.75" customHeight="1" x14ac:dyDescent="0.3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</row>
    <row r="417" spans="1:32" ht="15.75" customHeight="1" x14ac:dyDescent="0.3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</row>
    <row r="418" spans="1:32" ht="15.75" customHeight="1" x14ac:dyDescent="0.3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</row>
    <row r="419" spans="1:32" ht="15.75" customHeight="1" x14ac:dyDescent="0.3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</row>
    <row r="420" spans="1:32" ht="15.75" customHeight="1" x14ac:dyDescent="0.3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</row>
    <row r="421" spans="1:32" ht="15.75" customHeight="1" x14ac:dyDescent="0.3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</row>
    <row r="422" spans="1:32" ht="15.75" customHeight="1" x14ac:dyDescent="0.3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</row>
    <row r="423" spans="1:32" ht="15.75" customHeight="1" x14ac:dyDescent="0.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</row>
    <row r="424" spans="1:32" ht="15.75" customHeight="1" x14ac:dyDescent="0.3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</row>
    <row r="425" spans="1:32" ht="15.75" customHeight="1" x14ac:dyDescent="0.3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</row>
    <row r="426" spans="1:32" ht="15.75" customHeight="1" x14ac:dyDescent="0.3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</row>
    <row r="427" spans="1:32" ht="15.75" customHeight="1" x14ac:dyDescent="0.3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</row>
    <row r="428" spans="1:32" ht="15.75" customHeight="1" x14ac:dyDescent="0.3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</row>
    <row r="429" spans="1:32" ht="15.75" customHeight="1" x14ac:dyDescent="0.3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</row>
    <row r="430" spans="1:32" ht="15.75" customHeight="1" x14ac:dyDescent="0.3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</row>
    <row r="431" spans="1:32" ht="15.75" customHeight="1" x14ac:dyDescent="0.3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</row>
    <row r="432" spans="1:32" ht="15.75" customHeight="1" x14ac:dyDescent="0.3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</row>
    <row r="433" spans="1:32" ht="15.75" customHeight="1" x14ac:dyDescent="0.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</row>
    <row r="434" spans="1:32" ht="15.75" customHeight="1" x14ac:dyDescent="0.3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</row>
    <row r="435" spans="1:32" ht="15.75" customHeight="1" x14ac:dyDescent="0.3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</row>
    <row r="436" spans="1:32" ht="15.75" customHeight="1" x14ac:dyDescent="0.3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</row>
    <row r="437" spans="1:32" ht="15.75" customHeight="1" x14ac:dyDescent="0.3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</row>
    <row r="438" spans="1:32" ht="15.75" customHeight="1" x14ac:dyDescent="0.3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</row>
    <row r="439" spans="1:32" ht="15.75" customHeight="1" x14ac:dyDescent="0.3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</row>
    <row r="440" spans="1:32" ht="15.75" customHeight="1" x14ac:dyDescent="0.3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</row>
    <row r="441" spans="1:32" ht="15.75" customHeight="1" x14ac:dyDescent="0.3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</row>
    <row r="442" spans="1:32" ht="15.75" customHeight="1" x14ac:dyDescent="0.3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</row>
    <row r="443" spans="1:32" ht="15.75" customHeight="1" x14ac:dyDescent="0.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</row>
    <row r="444" spans="1:32" ht="15.75" customHeight="1" x14ac:dyDescent="0.3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</row>
    <row r="445" spans="1:32" ht="15.75" customHeight="1" x14ac:dyDescent="0.3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</row>
    <row r="446" spans="1:32" ht="15.75" customHeight="1" x14ac:dyDescent="0.3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</row>
    <row r="447" spans="1:32" ht="15.75" customHeight="1" x14ac:dyDescent="0.3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</row>
    <row r="448" spans="1:32" ht="15.75" customHeight="1" x14ac:dyDescent="0.3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</row>
    <row r="449" spans="1:32" ht="15.75" customHeight="1" x14ac:dyDescent="0.3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</row>
    <row r="450" spans="1:32" ht="15.75" customHeight="1" x14ac:dyDescent="0.3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</row>
    <row r="451" spans="1:32" ht="15.75" customHeight="1" x14ac:dyDescent="0.3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</row>
    <row r="452" spans="1:32" ht="15.75" customHeight="1" x14ac:dyDescent="0.3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</row>
    <row r="453" spans="1:32" ht="15.75" customHeight="1" x14ac:dyDescent="0.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</row>
    <row r="454" spans="1:32" ht="15.75" customHeight="1" x14ac:dyDescent="0.3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</row>
    <row r="455" spans="1:32" ht="15.75" customHeight="1" x14ac:dyDescent="0.3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</row>
    <row r="456" spans="1:32" ht="15.75" customHeight="1" x14ac:dyDescent="0.3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</row>
    <row r="457" spans="1:32" ht="15.75" customHeight="1" x14ac:dyDescent="0.3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</row>
    <row r="458" spans="1:32" ht="15.75" customHeight="1" x14ac:dyDescent="0.3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</row>
    <row r="459" spans="1:32" ht="15.75" customHeight="1" x14ac:dyDescent="0.3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</row>
    <row r="460" spans="1:32" ht="15.75" customHeight="1" x14ac:dyDescent="0.3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</row>
    <row r="461" spans="1:32" ht="15.75" customHeight="1" x14ac:dyDescent="0.3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</row>
    <row r="462" spans="1:32" ht="15.75" customHeight="1" x14ac:dyDescent="0.3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</row>
    <row r="463" spans="1:32" ht="15.75" customHeight="1" x14ac:dyDescent="0.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</row>
    <row r="464" spans="1:32" ht="15.75" customHeight="1" x14ac:dyDescent="0.3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</row>
    <row r="465" spans="1:32" ht="15.75" customHeight="1" x14ac:dyDescent="0.3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</row>
    <row r="466" spans="1:32" ht="15.75" customHeight="1" x14ac:dyDescent="0.3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</row>
    <row r="467" spans="1:32" ht="15.75" customHeight="1" x14ac:dyDescent="0.3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</row>
    <row r="468" spans="1:32" ht="15.75" customHeight="1" x14ac:dyDescent="0.3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</row>
    <row r="469" spans="1:32" ht="15.75" customHeight="1" x14ac:dyDescent="0.3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</row>
    <row r="470" spans="1:32" ht="15.75" customHeight="1" x14ac:dyDescent="0.3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</row>
    <row r="471" spans="1:32" ht="15.75" customHeight="1" x14ac:dyDescent="0.3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</row>
    <row r="472" spans="1:32" ht="15.75" customHeight="1" x14ac:dyDescent="0.3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</row>
    <row r="473" spans="1:32" ht="15.75" customHeight="1" x14ac:dyDescent="0.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</row>
    <row r="474" spans="1:32" ht="15.75" customHeight="1" x14ac:dyDescent="0.3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</row>
    <row r="475" spans="1:32" ht="15.75" customHeight="1" x14ac:dyDescent="0.3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</row>
    <row r="476" spans="1:32" ht="15.75" customHeight="1" x14ac:dyDescent="0.3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</row>
    <row r="477" spans="1:32" ht="15.75" customHeight="1" x14ac:dyDescent="0.3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 spans="1:32" ht="15.75" customHeight="1" x14ac:dyDescent="0.3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</row>
    <row r="479" spans="1:32" ht="15.75" customHeight="1" x14ac:dyDescent="0.3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</row>
    <row r="480" spans="1:32" ht="15.75" customHeight="1" x14ac:dyDescent="0.3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</row>
    <row r="481" spans="1:32" ht="15.75" customHeight="1" x14ac:dyDescent="0.3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</row>
    <row r="482" spans="1:32" ht="15.75" customHeight="1" x14ac:dyDescent="0.3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</row>
    <row r="483" spans="1:32" ht="15.75" customHeight="1" x14ac:dyDescent="0.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</row>
    <row r="484" spans="1:32" ht="15.75" customHeight="1" x14ac:dyDescent="0.3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</row>
    <row r="485" spans="1:32" ht="15.75" customHeight="1" x14ac:dyDescent="0.3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</row>
    <row r="486" spans="1:32" ht="15.75" customHeight="1" x14ac:dyDescent="0.3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</row>
    <row r="487" spans="1:32" ht="15.75" customHeight="1" x14ac:dyDescent="0.3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</row>
    <row r="488" spans="1:32" ht="15.75" customHeight="1" x14ac:dyDescent="0.3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89" spans="1:32" ht="15.75" customHeight="1" x14ac:dyDescent="0.3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</row>
    <row r="490" spans="1:32" ht="15.75" customHeight="1" x14ac:dyDescent="0.3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</row>
    <row r="491" spans="1:32" ht="15.75" customHeight="1" x14ac:dyDescent="0.3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</row>
    <row r="492" spans="1:32" ht="15.75" customHeight="1" x14ac:dyDescent="0.3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</row>
    <row r="493" spans="1:32" ht="15.75" customHeight="1" x14ac:dyDescent="0.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</row>
    <row r="494" spans="1:32" ht="15.75" customHeight="1" x14ac:dyDescent="0.3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</row>
    <row r="495" spans="1:32" ht="15.75" customHeight="1" x14ac:dyDescent="0.3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</row>
    <row r="496" spans="1:32" ht="15.75" customHeight="1" x14ac:dyDescent="0.3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</row>
    <row r="497" spans="1:32" ht="15.75" customHeight="1" x14ac:dyDescent="0.3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</row>
    <row r="498" spans="1:32" ht="15.75" customHeight="1" x14ac:dyDescent="0.3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</row>
    <row r="499" spans="1:32" ht="15.75" customHeight="1" x14ac:dyDescent="0.3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 spans="1:32" ht="15.75" customHeight="1" x14ac:dyDescent="0.3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</row>
    <row r="501" spans="1:32" ht="15.75" customHeight="1" x14ac:dyDescent="0.3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</row>
    <row r="502" spans="1:32" ht="15.75" customHeight="1" x14ac:dyDescent="0.3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</row>
    <row r="503" spans="1:32" ht="15.75" customHeight="1" x14ac:dyDescent="0.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</row>
    <row r="504" spans="1:32" ht="15.75" customHeight="1" x14ac:dyDescent="0.3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</row>
    <row r="505" spans="1:32" ht="15.75" customHeight="1" x14ac:dyDescent="0.3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</row>
    <row r="506" spans="1:32" ht="15.75" customHeight="1" x14ac:dyDescent="0.3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</row>
    <row r="507" spans="1:32" ht="15.75" customHeight="1" x14ac:dyDescent="0.3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</row>
    <row r="508" spans="1:32" ht="15.75" customHeight="1" x14ac:dyDescent="0.3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</row>
    <row r="509" spans="1:32" ht="15.75" customHeight="1" x14ac:dyDescent="0.3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 spans="1:32" ht="15.75" customHeight="1" x14ac:dyDescent="0.3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 spans="1:32" ht="15.75" customHeight="1" x14ac:dyDescent="0.3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</row>
    <row r="512" spans="1:32" ht="15.75" customHeight="1" x14ac:dyDescent="0.3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</row>
    <row r="513" spans="1:32" ht="15.75" customHeight="1" x14ac:dyDescent="0.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</row>
    <row r="514" spans="1:32" ht="15.75" customHeight="1" x14ac:dyDescent="0.3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</row>
    <row r="515" spans="1:32" ht="15.75" customHeight="1" x14ac:dyDescent="0.3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</row>
    <row r="516" spans="1:32" ht="15.75" customHeight="1" x14ac:dyDescent="0.3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</row>
    <row r="517" spans="1:32" ht="15.75" customHeight="1" x14ac:dyDescent="0.3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</row>
    <row r="518" spans="1:32" ht="15.75" customHeight="1" x14ac:dyDescent="0.3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</row>
    <row r="519" spans="1:32" ht="15.75" customHeight="1" x14ac:dyDescent="0.3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</row>
    <row r="520" spans="1:32" ht="15.75" customHeight="1" x14ac:dyDescent="0.3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</row>
    <row r="521" spans="1:32" ht="15.75" customHeight="1" x14ac:dyDescent="0.3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</row>
    <row r="522" spans="1:32" ht="15.75" customHeight="1" x14ac:dyDescent="0.3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</row>
    <row r="523" spans="1:32" ht="15.75" customHeight="1" x14ac:dyDescent="0.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</row>
    <row r="524" spans="1:32" ht="15.75" customHeight="1" x14ac:dyDescent="0.3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</row>
    <row r="525" spans="1:32" ht="15.75" customHeight="1" x14ac:dyDescent="0.3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</row>
    <row r="526" spans="1:32" ht="15.75" customHeight="1" x14ac:dyDescent="0.3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</row>
    <row r="527" spans="1:32" ht="15.75" customHeight="1" x14ac:dyDescent="0.3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</row>
    <row r="528" spans="1:32" ht="15.75" customHeight="1" x14ac:dyDescent="0.3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</row>
    <row r="529" spans="1:32" ht="15.75" customHeight="1" x14ac:dyDescent="0.3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</row>
    <row r="530" spans="1:32" ht="15.75" customHeight="1" x14ac:dyDescent="0.3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</row>
    <row r="531" spans="1:32" ht="15.75" customHeight="1" x14ac:dyDescent="0.3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</row>
    <row r="532" spans="1:32" ht="15.75" customHeight="1" x14ac:dyDescent="0.3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</row>
    <row r="533" spans="1:32" ht="15.75" customHeight="1" x14ac:dyDescent="0.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</row>
    <row r="534" spans="1:32" ht="15.75" customHeight="1" x14ac:dyDescent="0.3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</row>
    <row r="535" spans="1:32" ht="15.75" customHeight="1" x14ac:dyDescent="0.3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</row>
    <row r="536" spans="1:32" ht="15.75" customHeight="1" x14ac:dyDescent="0.3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</row>
    <row r="537" spans="1:32" ht="15.75" customHeight="1" x14ac:dyDescent="0.3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</row>
    <row r="538" spans="1:32" ht="15.75" customHeight="1" x14ac:dyDescent="0.3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</row>
    <row r="539" spans="1:32" ht="15.75" customHeight="1" x14ac:dyDescent="0.3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</row>
    <row r="540" spans="1:32" ht="15.75" customHeight="1" x14ac:dyDescent="0.3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</row>
    <row r="541" spans="1:32" ht="15.75" customHeight="1" x14ac:dyDescent="0.3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</row>
    <row r="542" spans="1:32" ht="15.75" customHeight="1" x14ac:dyDescent="0.3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</row>
    <row r="543" spans="1:32" ht="15.75" customHeight="1" x14ac:dyDescent="0.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</row>
    <row r="544" spans="1:32" ht="15.75" customHeight="1" x14ac:dyDescent="0.3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</row>
    <row r="545" spans="1:32" ht="15.75" customHeight="1" x14ac:dyDescent="0.3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</row>
    <row r="546" spans="1:32" ht="15.75" customHeight="1" x14ac:dyDescent="0.3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</row>
    <row r="547" spans="1:32" ht="15.75" customHeight="1" x14ac:dyDescent="0.3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</row>
    <row r="548" spans="1:32" ht="15.75" customHeight="1" x14ac:dyDescent="0.3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</row>
    <row r="549" spans="1:32" ht="15.75" customHeight="1" x14ac:dyDescent="0.3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</row>
    <row r="550" spans="1:32" ht="15.75" customHeight="1" x14ac:dyDescent="0.3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</row>
    <row r="551" spans="1:32" ht="15.75" customHeight="1" x14ac:dyDescent="0.3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</row>
    <row r="552" spans="1:32" ht="15.75" customHeight="1" x14ac:dyDescent="0.3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</row>
    <row r="553" spans="1:32" ht="15.75" customHeight="1" x14ac:dyDescent="0.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</row>
    <row r="554" spans="1:32" ht="15.75" customHeight="1" x14ac:dyDescent="0.3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</row>
    <row r="555" spans="1:32" ht="15.75" customHeight="1" x14ac:dyDescent="0.3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</row>
    <row r="556" spans="1:32" ht="15.75" customHeight="1" x14ac:dyDescent="0.3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</row>
    <row r="557" spans="1:32" ht="15.75" customHeight="1" x14ac:dyDescent="0.3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</row>
    <row r="558" spans="1:32" ht="15.75" customHeight="1" x14ac:dyDescent="0.3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</row>
    <row r="559" spans="1:32" ht="15.75" customHeight="1" x14ac:dyDescent="0.3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</row>
    <row r="560" spans="1:32" ht="15.75" customHeight="1" x14ac:dyDescent="0.3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</row>
    <row r="561" spans="1:32" ht="15.75" customHeight="1" x14ac:dyDescent="0.3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</row>
    <row r="562" spans="1:32" ht="15.75" customHeight="1" x14ac:dyDescent="0.3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</row>
    <row r="563" spans="1:32" ht="15.75" customHeight="1" x14ac:dyDescent="0.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</row>
    <row r="564" spans="1:32" ht="15.75" customHeight="1" x14ac:dyDescent="0.3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</row>
    <row r="565" spans="1:32" ht="15.75" customHeight="1" x14ac:dyDescent="0.3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</row>
    <row r="566" spans="1:32" ht="15.75" customHeight="1" x14ac:dyDescent="0.3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</row>
    <row r="567" spans="1:32" ht="15.75" customHeight="1" x14ac:dyDescent="0.3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</row>
    <row r="568" spans="1:32" ht="15.75" customHeight="1" x14ac:dyDescent="0.3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</row>
    <row r="569" spans="1:32" ht="15.75" customHeight="1" x14ac:dyDescent="0.3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</row>
    <row r="570" spans="1:32" ht="15.75" customHeight="1" x14ac:dyDescent="0.3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</row>
    <row r="571" spans="1:32" ht="15.75" customHeight="1" x14ac:dyDescent="0.3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</row>
    <row r="572" spans="1:32" ht="15.75" customHeight="1" x14ac:dyDescent="0.3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</row>
    <row r="573" spans="1:32" ht="15.75" customHeight="1" x14ac:dyDescent="0.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</row>
    <row r="574" spans="1:32" ht="15.75" customHeight="1" x14ac:dyDescent="0.3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</row>
    <row r="575" spans="1:32" ht="15.75" customHeight="1" x14ac:dyDescent="0.3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</row>
    <row r="576" spans="1:32" ht="15.75" customHeight="1" x14ac:dyDescent="0.3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</row>
    <row r="577" spans="1:32" ht="15.75" customHeight="1" x14ac:dyDescent="0.3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</row>
    <row r="578" spans="1:32" ht="15.75" customHeight="1" x14ac:dyDescent="0.3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</row>
    <row r="579" spans="1:32" ht="15.75" customHeight="1" x14ac:dyDescent="0.3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</row>
    <row r="580" spans="1:32" ht="15.75" customHeight="1" x14ac:dyDescent="0.3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</row>
    <row r="581" spans="1:32" ht="15.75" customHeight="1" x14ac:dyDescent="0.3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</row>
    <row r="582" spans="1:32" ht="15.75" customHeight="1" x14ac:dyDescent="0.3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</row>
    <row r="583" spans="1:32" ht="15.75" customHeight="1" x14ac:dyDescent="0.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</row>
    <row r="584" spans="1:32" ht="15.75" customHeight="1" x14ac:dyDescent="0.3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</row>
    <row r="585" spans="1:32" ht="15.75" customHeight="1" x14ac:dyDescent="0.3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</row>
    <row r="586" spans="1:32" ht="15.75" customHeight="1" x14ac:dyDescent="0.3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</row>
    <row r="587" spans="1:32" ht="15.75" customHeight="1" x14ac:dyDescent="0.3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</row>
    <row r="588" spans="1:32" ht="15.75" customHeight="1" x14ac:dyDescent="0.3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</row>
    <row r="589" spans="1:32" ht="15.75" customHeight="1" x14ac:dyDescent="0.3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</row>
    <row r="590" spans="1:32" ht="15.75" customHeight="1" x14ac:dyDescent="0.3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</row>
    <row r="591" spans="1:32" ht="15.75" customHeight="1" x14ac:dyDescent="0.3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</row>
    <row r="592" spans="1:32" ht="15.75" customHeight="1" x14ac:dyDescent="0.3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</row>
    <row r="593" spans="1:32" ht="15.75" customHeight="1" x14ac:dyDescent="0.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</row>
    <row r="594" spans="1:32" ht="15.75" customHeight="1" x14ac:dyDescent="0.3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</row>
    <row r="595" spans="1:32" ht="15.75" customHeight="1" x14ac:dyDescent="0.3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</row>
    <row r="596" spans="1:32" ht="15.75" customHeight="1" x14ac:dyDescent="0.3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</row>
    <row r="597" spans="1:32" ht="15.75" customHeight="1" x14ac:dyDescent="0.3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</row>
    <row r="598" spans="1:32" ht="15.75" customHeight="1" x14ac:dyDescent="0.3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</row>
    <row r="599" spans="1:32" ht="15.75" customHeight="1" x14ac:dyDescent="0.3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</row>
    <row r="600" spans="1:32" ht="15.75" customHeight="1" x14ac:dyDescent="0.3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</row>
    <row r="601" spans="1:32" ht="15.75" customHeight="1" x14ac:dyDescent="0.3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</row>
    <row r="602" spans="1:32" ht="15.75" customHeight="1" x14ac:dyDescent="0.3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</row>
    <row r="603" spans="1:32" ht="15.75" customHeight="1" x14ac:dyDescent="0.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</row>
    <row r="604" spans="1:32" ht="15.75" customHeight="1" x14ac:dyDescent="0.3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</row>
    <row r="605" spans="1:32" ht="15.75" customHeight="1" x14ac:dyDescent="0.3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</row>
    <row r="606" spans="1:32" ht="15.75" customHeight="1" x14ac:dyDescent="0.3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</row>
    <row r="607" spans="1:32" ht="15.75" customHeight="1" x14ac:dyDescent="0.3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</row>
    <row r="608" spans="1:32" ht="15.75" customHeight="1" x14ac:dyDescent="0.3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</row>
    <row r="609" spans="1:32" ht="15.75" customHeight="1" x14ac:dyDescent="0.3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</row>
    <row r="610" spans="1:32" ht="15.75" customHeight="1" x14ac:dyDescent="0.3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</row>
    <row r="611" spans="1:32" ht="15.75" customHeight="1" x14ac:dyDescent="0.3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</row>
    <row r="612" spans="1:32" ht="15.75" customHeight="1" x14ac:dyDescent="0.3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</row>
    <row r="613" spans="1:32" ht="15.75" customHeight="1" x14ac:dyDescent="0.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</row>
    <row r="614" spans="1:32" ht="15.75" customHeight="1" x14ac:dyDescent="0.3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</row>
    <row r="615" spans="1:32" ht="15.75" customHeight="1" x14ac:dyDescent="0.3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</row>
    <row r="616" spans="1:32" ht="15.75" customHeight="1" x14ac:dyDescent="0.3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</row>
    <row r="617" spans="1:32" ht="15.75" customHeight="1" x14ac:dyDescent="0.3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</row>
    <row r="618" spans="1:32" ht="15.75" customHeight="1" x14ac:dyDescent="0.3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</row>
    <row r="619" spans="1:32" ht="15.75" customHeight="1" x14ac:dyDescent="0.3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</row>
    <row r="620" spans="1:32" ht="15.75" customHeight="1" x14ac:dyDescent="0.3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</row>
    <row r="621" spans="1:32" ht="15.75" customHeight="1" x14ac:dyDescent="0.3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</row>
    <row r="622" spans="1:32" ht="15.75" customHeight="1" x14ac:dyDescent="0.3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</row>
    <row r="623" spans="1:32" ht="15.75" customHeight="1" x14ac:dyDescent="0.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</row>
    <row r="624" spans="1:32" ht="15.75" customHeight="1" x14ac:dyDescent="0.3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</row>
    <row r="625" spans="1:32" ht="15.75" customHeight="1" x14ac:dyDescent="0.3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</row>
    <row r="626" spans="1:32" ht="15.75" customHeight="1" x14ac:dyDescent="0.3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</row>
    <row r="627" spans="1:32" ht="15.75" customHeight="1" x14ac:dyDescent="0.3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</row>
    <row r="628" spans="1:32" ht="15.75" customHeight="1" x14ac:dyDescent="0.3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</row>
    <row r="629" spans="1:32" ht="15.75" customHeight="1" x14ac:dyDescent="0.3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</row>
    <row r="630" spans="1:32" ht="15.75" customHeight="1" x14ac:dyDescent="0.3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</row>
    <row r="631" spans="1:32" ht="15.75" customHeight="1" x14ac:dyDescent="0.3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</row>
    <row r="632" spans="1:32" ht="15.75" customHeight="1" x14ac:dyDescent="0.3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</row>
    <row r="633" spans="1:32" ht="15.75" customHeight="1" x14ac:dyDescent="0.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</row>
    <row r="634" spans="1:32" ht="15.75" customHeight="1" x14ac:dyDescent="0.3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</row>
    <row r="635" spans="1:32" ht="15.75" customHeight="1" x14ac:dyDescent="0.3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</row>
    <row r="636" spans="1:32" ht="15.75" customHeight="1" x14ac:dyDescent="0.3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</row>
    <row r="637" spans="1:32" ht="15.75" customHeight="1" x14ac:dyDescent="0.3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</row>
    <row r="638" spans="1:32" ht="15.75" customHeight="1" x14ac:dyDescent="0.3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</row>
    <row r="639" spans="1:32" ht="15.75" customHeight="1" x14ac:dyDescent="0.3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</row>
    <row r="640" spans="1:32" ht="15.75" customHeight="1" x14ac:dyDescent="0.3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</row>
    <row r="641" spans="1:32" ht="15.75" customHeight="1" x14ac:dyDescent="0.3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</row>
    <row r="642" spans="1:32" ht="15.75" customHeight="1" x14ac:dyDescent="0.3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</row>
    <row r="643" spans="1:32" ht="15.75" customHeight="1" x14ac:dyDescent="0.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</row>
    <row r="644" spans="1:32" ht="15.75" customHeight="1" x14ac:dyDescent="0.3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</row>
    <row r="645" spans="1:32" ht="15.75" customHeight="1" x14ac:dyDescent="0.3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</row>
    <row r="646" spans="1:32" ht="15.75" customHeight="1" x14ac:dyDescent="0.3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</row>
    <row r="647" spans="1:32" ht="15.75" customHeight="1" x14ac:dyDescent="0.3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</row>
    <row r="648" spans="1:32" ht="15.75" customHeight="1" x14ac:dyDescent="0.3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</row>
    <row r="649" spans="1:32" ht="15.75" customHeight="1" x14ac:dyDescent="0.3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</row>
    <row r="650" spans="1:32" ht="15.75" customHeight="1" x14ac:dyDescent="0.3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</row>
    <row r="651" spans="1:32" ht="15.75" customHeight="1" x14ac:dyDescent="0.3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</row>
    <row r="652" spans="1:32" ht="15.75" customHeight="1" x14ac:dyDescent="0.3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</row>
    <row r="653" spans="1:32" ht="15.75" customHeight="1" x14ac:dyDescent="0.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</row>
    <row r="654" spans="1:32" ht="15.75" customHeight="1" x14ac:dyDescent="0.3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</row>
    <row r="655" spans="1:32" ht="15.75" customHeight="1" x14ac:dyDescent="0.3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</row>
    <row r="656" spans="1:32" ht="15.75" customHeight="1" x14ac:dyDescent="0.3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</row>
    <row r="657" spans="1:32" ht="15.75" customHeight="1" x14ac:dyDescent="0.3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</row>
    <row r="658" spans="1:32" ht="15.75" customHeight="1" x14ac:dyDescent="0.3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</row>
    <row r="659" spans="1:32" ht="15.75" customHeight="1" x14ac:dyDescent="0.3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</row>
    <row r="660" spans="1:32" ht="15.75" customHeight="1" x14ac:dyDescent="0.3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</row>
    <row r="661" spans="1:32" ht="15.75" customHeight="1" x14ac:dyDescent="0.3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</row>
    <row r="662" spans="1:32" ht="15.75" customHeight="1" x14ac:dyDescent="0.3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</row>
    <row r="663" spans="1:32" ht="15.75" customHeight="1" x14ac:dyDescent="0.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</row>
    <row r="664" spans="1:32" ht="15.75" customHeight="1" x14ac:dyDescent="0.3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</row>
    <row r="665" spans="1:32" ht="15.75" customHeight="1" x14ac:dyDescent="0.3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</row>
    <row r="666" spans="1:32" ht="15.75" customHeight="1" x14ac:dyDescent="0.3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</row>
    <row r="667" spans="1:32" ht="15.75" customHeight="1" x14ac:dyDescent="0.3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</row>
    <row r="668" spans="1:32" ht="15.75" customHeight="1" x14ac:dyDescent="0.3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</row>
    <row r="669" spans="1:32" ht="15.75" customHeight="1" x14ac:dyDescent="0.3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</row>
    <row r="670" spans="1:32" ht="15.75" customHeight="1" x14ac:dyDescent="0.3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</row>
    <row r="671" spans="1:32" ht="15.75" customHeight="1" x14ac:dyDescent="0.3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</row>
    <row r="672" spans="1:32" ht="15.75" customHeight="1" x14ac:dyDescent="0.3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</row>
    <row r="673" spans="1:32" ht="15.75" customHeight="1" x14ac:dyDescent="0.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</row>
    <row r="674" spans="1:32" ht="15.75" customHeight="1" x14ac:dyDescent="0.3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</row>
    <row r="675" spans="1:32" ht="15.75" customHeight="1" x14ac:dyDescent="0.3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</row>
    <row r="676" spans="1:32" ht="15.75" customHeight="1" x14ac:dyDescent="0.3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</row>
    <row r="677" spans="1:32" ht="15.75" customHeight="1" x14ac:dyDescent="0.3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</row>
    <row r="678" spans="1:32" ht="15.75" customHeight="1" x14ac:dyDescent="0.3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</row>
    <row r="679" spans="1:32" ht="15.75" customHeight="1" x14ac:dyDescent="0.3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</row>
    <row r="680" spans="1:32" ht="15.75" customHeight="1" x14ac:dyDescent="0.3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</row>
    <row r="681" spans="1:32" ht="15.75" customHeight="1" x14ac:dyDescent="0.3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</row>
    <row r="682" spans="1:32" ht="15.75" customHeight="1" x14ac:dyDescent="0.3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</row>
    <row r="683" spans="1:32" ht="15.75" customHeight="1" x14ac:dyDescent="0.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</row>
    <row r="684" spans="1:32" ht="15.75" customHeight="1" x14ac:dyDescent="0.3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</row>
    <row r="685" spans="1:32" ht="15.75" customHeight="1" x14ac:dyDescent="0.3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</row>
    <row r="686" spans="1:32" ht="15.75" customHeight="1" x14ac:dyDescent="0.3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</row>
    <row r="687" spans="1:32" ht="15.75" customHeight="1" x14ac:dyDescent="0.3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</row>
    <row r="688" spans="1:32" ht="15.75" customHeight="1" x14ac:dyDescent="0.3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</row>
    <row r="689" spans="1:32" ht="15.75" customHeight="1" x14ac:dyDescent="0.3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</row>
    <row r="690" spans="1:32" ht="15.75" customHeight="1" x14ac:dyDescent="0.3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</row>
    <row r="691" spans="1:32" ht="15.75" customHeight="1" x14ac:dyDescent="0.3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</row>
    <row r="692" spans="1:32" ht="15.75" customHeight="1" x14ac:dyDescent="0.3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</row>
    <row r="693" spans="1:32" ht="15.75" customHeight="1" x14ac:dyDescent="0.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</row>
    <row r="694" spans="1:32" ht="15.75" customHeight="1" x14ac:dyDescent="0.3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</row>
    <row r="695" spans="1:32" ht="15.75" customHeight="1" x14ac:dyDescent="0.3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</row>
    <row r="696" spans="1:32" ht="15.75" customHeight="1" x14ac:dyDescent="0.3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</row>
    <row r="697" spans="1:32" ht="15.75" customHeight="1" x14ac:dyDescent="0.3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</row>
    <row r="698" spans="1:32" ht="15.75" customHeight="1" x14ac:dyDescent="0.3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</row>
    <row r="699" spans="1:32" ht="15.75" customHeight="1" x14ac:dyDescent="0.3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</row>
    <row r="700" spans="1:32" ht="15.75" customHeight="1" x14ac:dyDescent="0.3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</row>
    <row r="701" spans="1:32" ht="15.75" customHeight="1" x14ac:dyDescent="0.3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</row>
    <row r="702" spans="1:32" ht="15.75" customHeight="1" x14ac:dyDescent="0.3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</row>
    <row r="703" spans="1:32" ht="15.75" customHeight="1" x14ac:dyDescent="0.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</row>
    <row r="704" spans="1:32" ht="15.75" customHeight="1" x14ac:dyDescent="0.3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</row>
    <row r="705" spans="1:32" ht="15.75" customHeight="1" x14ac:dyDescent="0.3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</row>
    <row r="706" spans="1:32" ht="15.75" customHeight="1" x14ac:dyDescent="0.3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</row>
    <row r="707" spans="1:32" ht="15.75" customHeight="1" x14ac:dyDescent="0.3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</row>
    <row r="708" spans="1:32" ht="15.75" customHeight="1" x14ac:dyDescent="0.3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</row>
    <row r="709" spans="1:32" ht="15.75" customHeight="1" x14ac:dyDescent="0.3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</row>
    <row r="710" spans="1:32" ht="15.75" customHeight="1" x14ac:dyDescent="0.3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</row>
    <row r="711" spans="1:32" ht="15.75" customHeight="1" x14ac:dyDescent="0.3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 spans="1:32" ht="15.75" customHeight="1" x14ac:dyDescent="0.3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</row>
    <row r="713" spans="1:32" ht="15.75" customHeight="1" x14ac:dyDescent="0.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</row>
    <row r="714" spans="1:32" ht="15.75" customHeight="1" x14ac:dyDescent="0.3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</row>
    <row r="715" spans="1:32" ht="15.75" customHeight="1" x14ac:dyDescent="0.3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</row>
    <row r="716" spans="1:32" ht="15.75" customHeight="1" x14ac:dyDescent="0.3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</row>
    <row r="717" spans="1:32" ht="15.75" customHeight="1" x14ac:dyDescent="0.3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</row>
    <row r="718" spans="1:32" ht="15.75" customHeight="1" x14ac:dyDescent="0.3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</row>
    <row r="719" spans="1:32" ht="15.75" customHeight="1" x14ac:dyDescent="0.3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</row>
    <row r="720" spans="1:32" ht="15.75" customHeight="1" x14ac:dyDescent="0.3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</row>
    <row r="721" spans="1:32" ht="15.75" customHeight="1" x14ac:dyDescent="0.3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</row>
    <row r="722" spans="1:32" ht="15.75" customHeight="1" x14ac:dyDescent="0.3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</row>
    <row r="723" spans="1:32" ht="15.75" customHeight="1" x14ac:dyDescent="0.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</row>
    <row r="724" spans="1:32" ht="15.75" customHeight="1" x14ac:dyDescent="0.3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</row>
    <row r="725" spans="1:32" ht="15.75" customHeight="1" x14ac:dyDescent="0.3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</row>
    <row r="726" spans="1:32" ht="15.75" customHeight="1" x14ac:dyDescent="0.3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</row>
    <row r="727" spans="1:32" ht="15.75" customHeight="1" x14ac:dyDescent="0.3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</row>
    <row r="728" spans="1:32" ht="15.75" customHeight="1" x14ac:dyDescent="0.3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</row>
    <row r="729" spans="1:32" ht="15.75" customHeight="1" x14ac:dyDescent="0.3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</row>
    <row r="730" spans="1:32" ht="15.75" customHeight="1" x14ac:dyDescent="0.3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</row>
    <row r="731" spans="1:32" ht="15.75" customHeight="1" x14ac:dyDescent="0.3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</row>
    <row r="732" spans="1:32" ht="15.75" customHeight="1" x14ac:dyDescent="0.3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</row>
    <row r="733" spans="1:32" ht="15.75" customHeight="1" x14ac:dyDescent="0.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</row>
    <row r="734" spans="1:32" ht="15.75" customHeight="1" x14ac:dyDescent="0.3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</row>
    <row r="735" spans="1:32" ht="15.75" customHeight="1" x14ac:dyDescent="0.3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</row>
    <row r="736" spans="1:32" ht="15.75" customHeight="1" x14ac:dyDescent="0.3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</row>
    <row r="737" spans="1:32" ht="15.75" customHeight="1" x14ac:dyDescent="0.3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</row>
    <row r="738" spans="1:32" ht="15.75" customHeight="1" x14ac:dyDescent="0.3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</row>
    <row r="739" spans="1:32" ht="15.75" customHeight="1" x14ac:dyDescent="0.3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</row>
    <row r="740" spans="1:32" ht="15.75" customHeight="1" x14ac:dyDescent="0.3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</row>
    <row r="741" spans="1:32" ht="15.75" customHeight="1" x14ac:dyDescent="0.3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</row>
    <row r="742" spans="1:32" ht="15.75" customHeight="1" x14ac:dyDescent="0.3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</row>
    <row r="743" spans="1:32" ht="15.75" customHeight="1" x14ac:dyDescent="0.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</row>
    <row r="744" spans="1:32" ht="15.75" customHeight="1" x14ac:dyDescent="0.3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</row>
    <row r="745" spans="1:32" ht="15.75" customHeight="1" x14ac:dyDescent="0.3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</row>
    <row r="746" spans="1:32" ht="15.75" customHeight="1" x14ac:dyDescent="0.3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</row>
    <row r="747" spans="1:32" ht="15.75" customHeight="1" x14ac:dyDescent="0.3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</row>
    <row r="748" spans="1:32" ht="15.75" customHeight="1" x14ac:dyDescent="0.3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</row>
    <row r="749" spans="1:32" ht="15.75" customHeight="1" x14ac:dyDescent="0.3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</row>
    <row r="750" spans="1:32" ht="15.75" customHeight="1" x14ac:dyDescent="0.3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</row>
    <row r="751" spans="1:32" ht="15.75" customHeight="1" x14ac:dyDescent="0.3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</row>
    <row r="752" spans="1:32" ht="15.75" customHeight="1" x14ac:dyDescent="0.3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</row>
    <row r="753" spans="1:32" ht="15.75" customHeight="1" x14ac:dyDescent="0.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</row>
    <row r="754" spans="1:32" ht="15.75" customHeight="1" x14ac:dyDescent="0.3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</row>
    <row r="755" spans="1:32" ht="15.75" customHeight="1" x14ac:dyDescent="0.3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</row>
    <row r="756" spans="1:32" ht="15.75" customHeight="1" x14ac:dyDescent="0.3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</row>
    <row r="757" spans="1:32" ht="15.75" customHeight="1" x14ac:dyDescent="0.3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</row>
    <row r="758" spans="1:32" ht="15.75" customHeight="1" x14ac:dyDescent="0.3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</row>
    <row r="759" spans="1:32" ht="15.75" customHeight="1" x14ac:dyDescent="0.3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</row>
    <row r="760" spans="1:32" ht="15.75" customHeight="1" x14ac:dyDescent="0.3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</row>
    <row r="761" spans="1:32" ht="15.75" customHeight="1" x14ac:dyDescent="0.3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</row>
    <row r="762" spans="1:32" ht="15.75" customHeight="1" x14ac:dyDescent="0.3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</row>
    <row r="763" spans="1:32" ht="15.75" customHeight="1" x14ac:dyDescent="0.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</row>
    <row r="764" spans="1:32" ht="15.75" customHeight="1" x14ac:dyDescent="0.3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</row>
    <row r="765" spans="1:32" ht="15.75" customHeight="1" x14ac:dyDescent="0.3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</row>
    <row r="766" spans="1:32" ht="15.75" customHeight="1" x14ac:dyDescent="0.3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</row>
    <row r="767" spans="1:32" ht="15.75" customHeight="1" x14ac:dyDescent="0.3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</row>
    <row r="768" spans="1:32" ht="15.75" customHeight="1" x14ac:dyDescent="0.3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</row>
    <row r="769" spans="1:32" ht="15.75" customHeight="1" x14ac:dyDescent="0.3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</row>
    <row r="770" spans="1:32" ht="15.75" customHeight="1" x14ac:dyDescent="0.3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</row>
    <row r="771" spans="1:32" ht="15.75" customHeight="1" x14ac:dyDescent="0.3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</row>
    <row r="772" spans="1:32" ht="15.75" customHeight="1" x14ac:dyDescent="0.3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</row>
    <row r="773" spans="1:32" ht="15.75" customHeight="1" x14ac:dyDescent="0.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</row>
    <row r="774" spans="1:32" ht="15.75" customHeight="1" x14ac:dyDescent="0.3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</row>
    <row r="775" spans="1:32" ht="15.75" customHeight="1" x14ac:dyDescent="0.3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</row>
    <row r="776" spans="1:32" ht="15.75" customHeight="1" x14ac:dyDescent="0.3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</row>
    <row r="777" spans="1:32" ht="15.75" customHeight="1" x14ac:dyDescent="0.3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</row>
    <row r="778" spans="1:32" ht="15.75" customHeight="1" x14ac:dyDescent="0.3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</row>
    <row r="779" spans="1:32" ht="15.75" customHeight="1" x14ac:dyDescent="0.3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</row>
    <row r="780" spans="1:32" ht="15.75" customHeight="1" x14ac:dyDescent="0.3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</row>
    <row r="781" spans="1:32" ht="15.75" customHeight="1" x14ac:dyDescent="0.3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</row>
    <row r="782" spans="1:32" ht="15.75" customHeight="1" x14ac:dyDescent="0.3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</row>
    <row r="783" spans="1:32" ht="15.75" customHeight="1" x14ac:dyDescent="0.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</row>
    <row r="784" spans="1:32" ht="15.75" customHeight="1" x14ac:dyDescent="0.3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</row>
    <row r="785" spans="1:32" ht="15.75" customHeight="1" x14ac:dyDescent="0.3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</row>
    <row r="786" spans="1:32" ht="15.75" customHeight="1" x14ac:dyDescent="0.3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</row>
    <row r="787" spans="1:32" ht="15.75" customHeight="1" x14ac:dyDescent="0.3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</row>
    <row r="788" spans="1:32" ht="15.75" customHeight="1" x14ac:dyDescent="0.3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</row>
    <row r="789" spans="1:32" ht="15.75" customHeight="1" x14ac:dyDescent="0.3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</row>
    <row r="790" spans="1:32" ht="15.75" customHeight="1" x14ac:dyDescent="0.3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</row>
    <row r="791" spans="1:32" ht="15.75" customHeight="1" x14ac:dyDescent="0.3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</row>
    <row r="792" spans="1:32" ht="15.75" customHeight="1" x14ac:dyDescent="0.3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</row>
    <row r="793" spans="1:32" ht="15.75" customHeight="1" x14ac:dyDescent="0.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</row>
    <row r="794" spans="1:32" ht="15.75" customHeight="1" x14ac:dyDescent="0.3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</row>
    <row r="795" spans="1:32" ht="15.75" customHeight="1" x14ac:dyDescent="0.3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</row>
    <row r="796" spans="1:32" ht="15.75" customHeight="1" x14ac:dyDescent="0.3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</row>
    <row r="797" spans="1:32" ht="15.75" customHeight="1" x14ac:dyDescent="0.3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</row>
    <row r="798" spans="1:32" ht="15.75" customHeight="1" x14ac:dyDescent="0.3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</row>
    <row r="799" spans="1:32" ht="15.75" customHeight="1" x14ac:dyDescent="0.3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</row>
    <row r="800" spans="1:32" ht="15.75" customHeight="1" x14ac:dyDescent="0.3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</row>
    <row r="801" spans="1:32" ht="15.75" customHeight="1" x14ac:dyDescent="0.3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</row>
    <row r="802" spans="1:32" ht="15.75" customHeight="1" x14ac:dyDescent="0.3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</row>
    <row r="803" spans="1:32" ht="15.75" customHeight="1" x14ac:dyDescent="0.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</row>
    <row r="804" spans="1:32" ht="15.75" customHeight="1" x14ac:dyDescent="0.3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</row>
    <row r="805" spans="1:32" ht="15.75" customHeight="1" x14ac:dyDescent="0.3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</row>
    <row r="806" spans="1:32" ht="15.75" customHeight="1" x14ac:dyDescent="0.3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</row>
    <row r="807" spans="1:32" ht="15.75" customHeight="1" x14ac:dyDescent="0.3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</row>
    <row r="808" spans="1:32" ht="15.75" customHeight="1" x14ac:dyDescent="0.3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</row>
    <row r="809" spans="1:32" ht="15.75" customHeight="1" x14ac:dyDescent="0.3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</row>
    <row r="810" spans="1:32" ht="15.75" customHeight="1" x14ac:dyDescent="0.3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</row>
    <row r="811" spans="1:32" ht="15.75" customHeight="1" x14ac:dyDescent="0.3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</row>
    <row r="812" spans="1:32" ht="15.75" customHeight="1" x14ac:dyDescent="0.3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</row>
    <row r="813" spans="1:32" ht="15.75" customHeight="1" x14ac:dyDescent="0.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</row>
    <row r="814" spans="1:32" ht="15.75" customHeight="1" x14ac:dyDescent="0.3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</row>
    <row r="815" spans="1:32" ht="15.75" customHeight="1" x14ac:dyDescent="0.3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</row>
    <row r="816" spans="1:32" ht="15.75" customHeight="1" x14ac:dyDescent="0.3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</row>
    <row r="817" spans="1:32" ht="15.75" customHeight="1" x14ac:dyDescent="0.3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</row>
    <row r="818" spans="1:32" ht="15.75" customHeight="1" x14ac:dyDescent="0.3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</row>
    <row r="819" spans="1:32" ht="15.75" customHeight="1" x14ac:dyDescent="0.3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</row>
    <row r="820" spans="1:32" ht="15.75" customHeight="1" x14ac:dyDescent="0.3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</row>
    <row r="821" spans="1:32" ht="15.75" customHeight="1" x14ac:dyDescent="0.3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</row>
    <row r="822" spans="1:32" ht="15.75" customHeight="1" x14ac:dyDescent="0.3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</row>
    <row r="823" spans="1:32" ht="15.75" customHeight="1" x14ac:dyDescent="0.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</row>
    <row r="824" spans="1:32" ht="15.75" customHeight="1" x14ac:dyDescent="0.3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</row>
    <row r="825" spans="1:32" ht="15.75" customHeight="1" x14ac:dyDescent="0.3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</row>
    <row r="826" spans="1:32" ht="15.75" customHeight="1" x14ac:dyDescent="0.3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</row>
    <row r="827" spans="1:32" ht="15.75" customHeight="1" x14ac:dyDescent="0.3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</row>
    <row r="828" spans="1:32" ht="15.75" customHeight="1" x14ac:dyDescent="0.3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</row>
    <row r="829" spans="1:32" ht="15.75" customHeight="1" x14ac:dyDescent="0.3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</row>
    <row r="830" spans="1:32" ht="15.75" customHeight="1" x14ac:dyDescent="0.3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</row>
    <row r="831" spans="1:32" ht="15.75" customHeight="1" x14ac:dyDescent="0.3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</row>
    <row r="832" spans="1:32" ht="15.75" customHeight="1" x14ac:dyDescent="0.3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</row>
    <row r="833" spans="1:32" ht="15.75" customHeight="1" x14ac:dyDescent="0.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</row>
    <row r="834" spans="1:32" ht="15.75" customHeight="1" x14ac:dyDescent="0.3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</row>
    <row r="835" spans="1:32" ht="15.75" customHeight="1" x14ac:dyDescent="0.3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</row>
    <row r="836" spans="1:32" ht="15.75" customHeight="1" x14ac:dyDescent="0.3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</row>
    <row r="837" spans="1:32" ht="15.75" customHeight="1" x14ac:dyDescent="0.3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</row>
    <row r="838" spans="1:32" ht="15.75" customHeight="1" x14ac:dyDescent="0.3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</row>
    <row r="839" spans="1:32" ht="15.75" customHeight="1" x14ac:dyDescent="0.3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</row>
    <row r="840" spans="1:32" ht="15.75" customHeight="1" x14ac:dyDescent="0.3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</row>
    <row r="841" spans="1:32" ht="15.75" customHeight="1" x14ac:dyDescent="0.3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</row>
    <row r="842" spans="1:32" ht="15.75" customHeight="1" x14ac:dyDescent="0.3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</row>
    <row r="843" spans="1:32" ht="15.75" customHeight="1" x14ac:dyDescent="0.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</row>
    <row r="844" spans="1:32" ht="15.75" customHeight="1" x14ac:dyDescent="0.3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</row>
    <row r="845" spans="1:32" ht="15.75" customHeight="1" x14ac:dyDescent="0.3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</row>
    <row r="846" spans="1:32" ht="15.75" customHeight="1" x14ac:dyDescent="0.3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</row>
    <row r="847" spans="1:32" ht="15.75" customHeight="1" x14ac:dyDescent="0.3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</row>
    <row r="848" spans="1:32" ht="15.75" customHeight="1" x14ac:dyDescent="0.3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</row>
    <row r="849" spans="1:32" ht="15.75" customHeight="1" x14ac:dyDescent="0.3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</row>
    <row r="850" spans="1:32" ht="15.75" customHeight="1" x14ac:dyDescent="0.3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</row>
    <row r="851" spans="1:32" ht="15.75" customHeight="1" x14ac:dyDescent="0.3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</row>
    <row r="852" spans="1:32" ht="15.75" customHeight="1" x14ac:dyDescent="0.3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</row>
    <row r="853" spans="1:32" ht="15.75" customHeight="1" x14ac:dyDescent="0.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</row>
    <row r="854" spans="1:32" ht="15.75" customHeight="1" x14ac:dyDescent="0.3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</row>
    <row r="855" spans="1:32" ht="15.75" customHeight="1" x14ac:dyDescent="0.3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</row>
    <row r="856" spans="1:32" ht="15.75" customHeight="1" x14ac:dyDescent="0.3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</row>
    <row r="857" spans="1:32" ht="15.75" customHeight="1" x14ac:dyDescent="0.3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</row>
    <row r="858" spans="1:32" ht="15.75" customHeight="1" x14ac:dyDescent="0.3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</row>
    <row r="859" spans="1:32" ht="15.75" customHeight="1" x14ac:dyDescent="0.3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</row>
    <row r="860" spans="1:32" ht="15.75" customHeight="1" x14ac:dyDescent="0.3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</row>
    <row r="861" spans="1:32" ht="15.75" customHeight="1" x14ac:dyDescent="0.3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</row>
    <row r="862" spans="1:32" ht="15.75" customHeight="1" x14ac:dyDescent="0.3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</row>
    <row r="863" spans="1:32" ht="15.75" customHeight="1" x14ac:dyDescent="0.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</row>
    <row r="864" spans="1:32" ht="15.75" customHeight="1" x14ac:dyDescent="0.3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</row>
    <row r="865" spans="1:32" ht="15.75" customHeight="1" x14ac:dyDescent="0.3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</row>
    <row r="866" spans="1:32" ht="15.75" customHeight="1" x14ac:dyDescent="0.3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</row>
    <row r="867" spans="1:32" ht="15.75" customHeight="1" x14ac:dyDescent="0.3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</row>
    <row r="868" spans="1:32" ht="15.75" customHeight="1" x14ac:dyDescent="0.3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</row>
    <row r="869" spans="1:32" ht="15.75" customHeight="1" x14ac:dyDescent="0.3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</row>
    <row r="870" spans="1:32" ht="15.75" customHeight="1" x14ac:dyDescent="0.3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</row>
    <row r="871" spans="1:32" ht="15.75" customHeight="1" x14ac:dyDescent="0.3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</row>
    <row r="872" spans="1:32" ht="15.75" customHeight="1" x14ac:dyDescent="0.3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</row>
    <row r="873" spans="1:32" ht="15.75" customHeight="1" x14ac:dyDescent="0.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</row>
    <row r="874" spans="1:32" ht="15.75" customHeight="1" x14ac:dyDescent="0.3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</row>
    <row r="875" spans="1:32" ht="15.75" customHeight="1" x14ac:dyDescent="0.3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</row>
    <row r="876" spans="1:32" ht="15.75" customHeight="1" x14ac:dyDescent="0.3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</row>
    <row r="877" spans="1:32" ht="15.75" customHeight="1" x14ac:dyDescent="0.3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</row>
    <row r="878" spans="1:32" ht="15.75" customHeight="1" x14ac:dyDescent="0.3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</row>
    <row r="879" spans="1:32" ht="15.75" customHeight="1" x14ac:dyDescent="0.3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</row>
    <row r="880" spans="1:32" ht="15.75" customHeight="1" x14ac:dyDescent="0.3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</row>
    <row r="881" spans="1:32" ht="15.75" customHeight="1" x14ac:dyDescent="0.3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</row>
    <row r="882" spans="1:32" ht="15.75" customHeight="1" x14ac:dyDescent="0.3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</row>
    <row r="883" spans="1:32" ht="15.75" customHeight="1" x14ac:dyDescent="0.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</row>
    <row r="884" spans="1:32" ht="15.75" customHeight="1" x14ac:dyDescent="0.3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</row>
    <row r="885" spans="1:32" ht="15.75" customHeight="1" x14ac:dyDescent="0.3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</row>
    <row r="886" spans="1:32" ht="15.75" customHeight="1" x14ac:dyDescent="0.3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 spans="1:32" ht="15.75" customHeight="1" x14ac:dyDescent="0.3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</row>
    <row r="888" spans="1:32" ht="15.75" customHeight="1" x14ac:dyDescent="0.3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</row>
    <row r="889" spans="1:32" ht="15.75" customHeight="1" x14ac:dyDescent="0.3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</row>
    <row r="890" spans="1:32" ht="15.75" customHeight="1" x14ac:dyDescent="0.3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</row>
    <row r="891" spans="1:32" ht="15.75" customHeight="1" x14ac:dyDescent="0.3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</row>
    <row r="892" spans="1:32" ht="15.75" customHeight="1" x14ac:dyDescent="0.3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</row>
    <row r="893" spans="1:32" ht="15.75" customHeight="1" x14ac:dyDescent="0.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</row>
    <row r="894" spans="1:32" ht="15.75" customHeight="1" x14ac:dyDescent="0.3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</row>
    <row r="895" spans="1:32" ht="15.75" customHeight="1" x14ac:dyDescent="0.3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</row>
    <row r="896" spans="1:32" ht="15.75" customHeight="1" x14ac:dyDescent="0.3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</row>
    <row r="897" spans="1:32" ht="15.75" customHeight="1" x14ac:dyDescent="0.3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</row>
    <row r="898" spans="1:32" ht="15.75" customHeight="1" x14ac:dyDescent="0.3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</row>
    <row r="899" spans="1:32" ht="15.75" customHeight="1" x14ac:dyDescent="0.3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</row>
    <row r="900" spans="1:32" ht="15.75" customHeight="1" x14ac:dyDescent="0.3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</row>
    <row r="901" spans="1:32" ht="15.75" customHeight="1" x14ac:dyDescent="0.3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</row>
    <row r="902" spans="1:32" ht="15.75" customHeight="1" x14ac:dyDescent="0.3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</row>
    <row r="903" spans="1:32" ht="15.75" customHeight="1" x14ac:dyDescent="0.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</row>
    <row r="904" spans="1:32" ht="15.75" customHeight="1" x14ac:dyDescent="0.3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</row>
    <row r="905" spans="1:32" ht="15.75" customHeight="1" x14ac:dyDescent="0.3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</row>
    <row r="906" spans="1:32" ht="15.75" customHeight="1" x14ac:dyDescent="0.3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</row>
    <row r="907" spans="1:32" ht="15.75" customHeight="1" x14ac:dyDescent="0.3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</row>
    <row r="908" spans="1:32" ht="15.75" customHeight="1" x14ac:dyDescent="0.3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</row>
    <row r="909" spans="1:32" ht="15.75" customHeight="1" x14ac:dyDescent="0.3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</row>
    <row r="910" spans="1:32" ht="15.75" customHeight="1" x14ac:dyDescent="0.3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</row>
    <row r="911" spans="1:32" ht="15.75" customHeight="1" x14ac:dyDescent="0.3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</row>
    <row r="912" spans="1:32" ht="15.75" customHeight="1" x14ac:dyDescent="0.3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</row>
    <row r="913" spans="1:32" ht="15.75" customHeight="1" x14ac:dyDescent="0.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</row>
    <row r="914" spans="1:32" ht="15.75" customHeight="1" x14ac:dyDescent="0.3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</row>
    <row r="915" spans="1:32" ht="15.75" customHeight="1" x14ac:dyDescent="0.3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</row>
    <row r="916" spans="1:32" ht="15.75" customHeight="1" x14ac:dyDescent="0.3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</row>
    <row r="917" spans="1:32" ht="15.75" customHeight="1" x14ac:dyDescent="0.3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</row>
    <row r="918" spans="1:32" ht="15.75" customHeight="1" x14ac:dyDescent="0.3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</row>
    <row r="919" spans="1:32" ht="15.75" customHeight="1" x14ac:dyDescent="0.3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</row>
    <row r="920" spans="1:32" ht="15.75" customHeight="1" x14ac:dyDescent="0.3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</row>
    <row r="921" spans="1:32" ht="15.75" customHeight="1" x14ac:dyDescent="0.3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</row>
    <row r="922" spans="1:32" ht="15.75" customHeight="1" x14ac:dyDescent="0.3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</row>
    <row r="923" spans="1:32" ht="15.75" customHeight="1" x14ac:dyDescent="0.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</row>
    <row r="924" spans="1:32" ht="15.75" customHeight="1" x14ac:dyDescent="0.3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</row>
    <row r="925" spans="1:32" ht="15.75" customHeight="1" x14ac:dyDescent="0.3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</row>
    <row r="926" spans="1:32" ht="15.75" customHeight="1" x14ac:dyDescent="0.3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</row>
    <row r="927" spans="1:32" ht="15.75" customHeight="1" x14ac:dyDescent="0.3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</row>
    <row r="928" spans="1:32" ht="15.75" customHeight="1" x14ac:dyDescent="0.3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</row>
    <row r="929" spans="1:32" ht="15.75" customHeight="1" x14ac:dyDescent="0.3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</row>
    <row r="930" spans="1:32" ht="15.75" customHeight="1" x14ac:dyDescent="0.3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</row>
    <row r="931" spans="1:32" ht="15.75" customHeight="1" x14ac:dyDescent="0.3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</row>
    <row r="932" spans="1:32" ht="15.75" customHeight="1" x14ac:dyDescent="0.3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</row>
    <row r="933" spans="1:32" ht="15.75" customHeight="1" x14ac:dyDescent="0.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</row>
    <row r="934" spans="1:32" ht="15.75" customHeight="1" x14ac:dyDescent="0.3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</row>
    <row r="935" spans="1:32" ht="15.75" customHeight="1" x14ac:dyDescent="0.3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</row>
    <row r="936" spans="1:32" ht="15.75" customHeight="1" x14ac:dyDescent="0.3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</row>
    <row r="937" spans="1:32" ht="15.75" customHeight="1" x14ac:dyDescent="0.3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</row>
    <row r="938" spans="1:32" ht="15.75" customHeight="1" x14ac:dyDescent="0.3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</row>
    <row r="939" spans="1:32" ht="15.75" customHeight="1" x14ac:dyDescent="0.3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</row>
    <row r="940" spans="1:32" ht="15.75" customHeight="1" x14ac:dyDescent="0.3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</row>
    <row r="941" spans="1:32" ht="15.75" customHeight="1" x14ac:dyDescent="0.3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</row>
    <row r="942" spans="1:32" ht="15.75" customHeight="1" x14ac:dyDescent="0.3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</row>
    <row r="943" spans="1:32" ht="15.75" customHeight="1" x14ac:dyDescent="0.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</row>
    <row r="944" spans="1:32" ht="15.75" customHeight="1" x14ac:dyDescent="0.3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</row>
    <row r="945" spans="1:32" ht="15.75" customHeight="1" x14ac:dyDescent="0.3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</row>
    <row r="946" spans="1:32" ht="15.75" customHeight="1" x14ac:dyDescent="0.3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</row>
    <row r="947" spans="1:32" ht="15.75" customHeight="1" x14ac:dyDescent="0.3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</row>
    <row r="948" spans="1:32" ht="15.75" customHeight="1" x14ac:dyDescent="0.3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</row>
    <row r="949" spans="1:32" ht="15.75" customHeight="1" x14ac:dyDescent="0.3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</row>
    <row r="950" spans="1:32" ht="15.75" customHeight="1" x14ac:dyDescent="0.3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</row>
    <row r="951" spans="1:32" ht="15.75" customHeight="1" x14ac:dyDescent="0.3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</row>
    <row r="952" spans="1:32" ht="15.75" customHeight="1" x14ac:dyDescent="0.3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</row>
    <row r="953" spans="1:32" ht="15.75" customHeight="1" x14ac:dyDescent="0.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</row>
    <row r="954" spans="1:32" ht="15.75" customHeight="1" x14ac:dyDescent="0.3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</row>
    <row r="955" spans="1:32" ht="15.75" customHeight="1" x14ac:dyDescent="0.3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</row>
    <row r="956" spans="1:32" ht="15.75" customHeight="1" x14ac:dyDescent="0.3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</row>
    <row r="957" spans="1:32" ht="15.75" customHeight="1" x14ac:dyDescent="0.3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</row>
    <row r="958" spans="1:32" ht="15.75" customHeight="1" x14ac:dyDescent="0.3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</row>
    <row r="959" spans="1:32" ht="15.75" customHeight="1" x14ac:dyDescent="0.3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</row>
    <row r="960" spans="1:32" ht="15.75" customHeight="1" x14ac:dyDescent="0.3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</row>
    <row r="961" spans="1:32" ht="15.75" customHeight="1" x14ac:dyDescent="0.3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</row>
    <row r="962" spans="1:32" ht="15.75" customHeight="1" x14ac:dyDescent="0.3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</row>
    <row r="963" spans="1:32" ht="15.75" customHeight="1" x14ac:dyDescent="0.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</row>
    <row r="964" spans="1:32" ht="15.75" customHeight="1" x14ac:dyDescent="0.3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</row>
    <row r="965" spans="1:32" ht="15.75" customHeight="1" x14ac:dyDescent="0.3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</row>
    <row r="966" spans="1:32" ht="15.75" customHeight="1" x14ac:dyDescent="0.3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</row>
    <row r="967" spans="1:32" ht="15.75" customHeight="1" x14ac:dyDescent="0.3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</row>
    <row r="968" spans="1:32" ht="15.75" customHeight="1" x14ac:dyDescent="0.3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</row>
    <row r="969" spans="1:32" ht="15.75" customHeight="1" x14ac:dyDescent="0.3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</row>
    <row r="970" spans="1:32" ht="15.75" customHeight="1" x14ac:dyDescent="0.3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</row>
    <row r="971" spans="1:32" ht="15.75" customHeight="1" x14ac:dyDescent="0.3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</row>
    <row r="972" spans="1:32" ht="15.75" customHeight="1" x14ac:dyDescent="0.3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</row>
    <row r="973" spans="1:32" ht="15.75" customHeight="1" x14ac:dyDescent="0.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</row>
    <row r="974" spans="1:32" ht="15.75" customHeight="1" x14ac:dyDescent="0.3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</row>
    <row r="975" spans="1:32" ht="15.75" customHeight="1" x14ac:dyDescent="0.3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</row>
    <row r="976" spans="1:32" ht="15.75" customHeight="1" x14ac:dyDescent="0.3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</row>
    <row r="977" spans="1:32" ht="15.75" customHeight="1" x14ac:dyDescent="0.3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</row>
    <row r="978" spans="1:32" ht="15.75" customHeight="1" x14ac:dyDescent="0.3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</row>
    <row r="979" spans="1:32" ht="15.75" customHeight="1" x14ac:dyDescent="0.3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</row>
    <row r="980" spans="1:32" ht="15.75" customHeight="1" x14ac:dyDescent="0.3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</row>
    <row r="981" spans="1:32" ht="15.75" customHeight="1" x14ac:dyDescent="0.3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</row>
    <row r="982" spans="1:32" ht="15.75" customHeight="1" x14ac:dyDescent="0.3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</row>
    <row r="983" spans="1:32" ht="15.75" customHeight="1" x14ac:dyDescent="0.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</row>
    <row r="984" spans="1:32" ht="15.75" customHeight="1" x14ac:dyDescent="0.3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</row>
    <row r="985" spans="1:32" ht="15.75" customHeight="1" x14ac:dyDescent="0.3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</row>
    <row r="986" spans="1:32" ht="15.75" customHeight="1" x14ac:dyDescent="0.3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</row>
    <row r="987" spans="1:32" ht="15.75" customHeight="1" x14ac:dyDescent="0.3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</row>
    <row r="988" spans="1:32" ht="15.75" customHeight="1" x14ac:dyDescent="0.3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</row>
    <row r="989" spans="1:32" ht="15.75" customHeight="1" x14ac:dyDescent="0.3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</row>
    <row r="990" spans="1:32" ht="15.75" customHeight="1" x14ac:dyDescent="0.3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</row>
    <row r="991" spans="1:32" ht="15.75" customHeight="1" x14ac:dyDescent="0.3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</row>
    <row r="992" spans="1:32" ht="15.75" customHeight="1" x14ac:dyDescent="0.3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</row>
    <row r="993" spans="1:32" ht="15.75" customHeight="1" x14ac:dyDescent="0.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</row>
    <row r="994" spans="1:32" ht="15.75" customHeight="1" x14ac:dyDescent="0.3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</row>
    <row r="995" spans="1:32" ht="15.75" customHeight="1" x14ac:dyDescent="0.3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</row>
    <row r="996" spans="1:32" ht="15.75" customHeight="1" x14ac:dyDescent="0.3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</row>
    <row r="997" spans="1:32" ht="15.75" customHeight="1" x14ac:dyDescent="0.3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</row>
    <row r="998" spans="1:32" ht="15.75" customHeight="1" x14ac:dyDescent="0.3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</row>
    <row r="999" spans="1:32" ht="15.75" customHeight="1" x14ac:dyDescent="0.3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</row>
    <row r="1000" spans="1:32" ht="15.75" customHeight="1" x14ac:dyDescent="0.3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</row>
  </sheetData>
  <mergeCells count="125">
    <mergeCell ref="B4:K4"/>
    <mergeCell ref="B5:K5"/>
    <mergeCell ref="Q5:Q6"/>
    <mergeCell ref="R5:R6"/>
    <mergeCell ref="S5:S6"/>
    <mergeCell ref="T5:T6"/>
    <mergeCell ref="AA5:AA6"/>
    <mergeCell ref="AC7:AC8"/>
    <mergeCell ref="B8:K8"/>
    <mergeCell ref="X7:X8"/>
    <mergeCell ref="Y7:Y8"/>
    <mergeCell ref="Z7:Z8"/>
    <mergeCell ref="AA7:AA8"/>
    <mergeCell ref="AB7:AB8"/>
    <mergeCell ref="AB5:AB6"/>
    <mergeCell ref="AC5:AC6"/>
    <mergeCell ref="W5:W6"/>
    <mergeCell ref="X5:X6"/>
    <mergeCell ref="Y5:Y6"/>
    <mergeCell ref="Z5:Z6"/>
    <mergeCell ref="U5:U6"/>
    <mergeCell ref="V5:V6"/>
    <mergeCell ref="R9:R10"/>
    <mergeCell ref="S9:S10"/>
    <mergeCell ref="T9:T10"/>
    <mergeCell ref="U9:U10"/>
    <mergeCell ref="V9:V10"/>
    <mergeCell ref="W9:W10"/>
    <mergeCell ref="W7:W8"/>
    <mergeCell ref="B7:K7"/>
    <mergeCell ref="Q7:Q8"/>
    <mergeCell ref="R7:R8"/>
    <mergeCell ref="S7:S8"/>
    <mergeCell ref="T7:T8"/>
    <mergeCell ref="U7:U8"/>
    <mergeCell ref="V7:V8"/>
    <mergeCell ref="B21:C21"/>
    <mergeCell ref="B27:F27"/>
    <mergeCell ref="H27:K27"/>
    <mergeCell ref="B28:F28"/>
    <mergeCell ref="H28:K28"/>
    <mergeCell ref="Q28:AC28"/>
    <mergeCell ref="B10:K10"/>
    <mergeCell ref="B12:K12"/>
    <mergeCell ref="B14:K14"/>
    <mergeCell ref="Q14:AC14"/>
    <mergeCell ref="B15:K15"/>
    <mergeCell ref="C17:G17"/>
    <mergeCell ref="C18:E18"/>
    <mergeCell ref="X9:X10"/>
    <mergeCell ref="Y9:Y10"/>
    <mergeCell ref="Z9:Z10"/>
    <mergeCell ref="AA9:AA10"/>
    <mergeCell ref="AB9:AB10"/>
    <mergeCell ref="AC9:AC10"/>
    <mergeCell ref="Q15:AC18"/>
    <mergeCell ref="Q19:AC22"/>
    <mergeCell ref="Q23:AC26"/>
    <mergeCell ref="B9:K9"/>
    <mergeCell ref="Q9:Q10"/>
    <mergeCell ref="Q33:AC33"/>
    <mergeCell ref="B34:E34"/>
    <mergeCell ref="J34:K34"/>
    <mergeCell ref="B29:K29"/>
    <mergeCell ref="R29:S29"/>
    <mergeCell ref="B30:E31"/>
    <mergeCell ref="F30:H30"/>
    <mergeCell ref="I30:I31"/>
    <mergeCell ref="J30:K31"/>
    <mergeCell ref="R30:S30"/>
    <mergeCell ref="R31:S31"/>
    <mergeCell ref="B35:E35"/>
    <mergeCell ref="J35:K35"/>
    <mergeCell ref="B36:E36"/>
    <mergeCell ref="J36:K36"/>
    <mergeCell ref="B37:E37"/>
    <mergeCell ref="J37:K37"/>
    <mergeCell ref="B32:E32"/>
    <mergeCell ref="J32:K32"/>
    <mergeCell ref="B33:E33"/>
    <mergeCell ref="J33:K33"/>
    <mergeCell ref="B38:E38"/>
    <mergeCell ref="J38:K38"/>
    <mergeCell ref="B39:E39"/>
    <mergeCell ref="J39:K39"/>
    <mergeCell ref="X39:AB39"/>
    <mergeCell ref="B40:E40"/>
    <mergeCell ref="J40:K40"/>
    <mergeCell ref="R40:U40"/>
    <mergeCell ref="X40:AC40"/>
    <mergeCell ref="B41:E41"/>
    <mergeCell ref="J41:K41"/>
    <mergeCell ref="Q41:V42"/>
    <mergeCell ref="X41:AC41"/>
    <mergeCell ref="B42:H43"/>
    <mergeCell ref="I42:I43"/>
    <mergeCell ref="J42:K43"/>
    <mergeCell ref="X42:AC42"/>
    <mergeCell ref="Q43:V43"/>
    <mergeCell ref="X43:AC43"/>
    <mergeCell ref="C47:E47"/>
    <mergeCell ref="F47:G47"/>
    <mergeCell ref="I47:J47"/>
    <mergeCell ref="C48:E48"/>
    <mergeCell ref="F48:G48"/>
    <mergeCell ref="I48:J48"/>
    <mergeCell ref="Q44:AC44"/>
    <mergeCell ref="B45:E45"/>
    <mergeCell ref="F45:G45"/>
    <mergeCell ref="I45:J45"/>
    <mergeCell ref="Q45:AC45"/>
    <mergeCell ref="C46:E46"/>
    <mergeCell ref="F46:G46"/>
    <mergeCell ref="I46:J46"/>
    <mergeCell ref="C51:E51"/>
    <mergeCell ref="F51:G51"/>
    <mergeCell ref="I51:J51"/>
    <mergeCell ref="C49:E49"/>
    <mergeCell ref="F49:G49"/>
    <mergeCell ref="I49:J49"/>
    <mergeCell ref="Q49:V49"/>
    <mergeCell ref="C50:E50"/>
    <mergeCell ref="F50:G50"/>
    <mergeCell ref="I50:J50"/>
    <mergeCell ref="Q50:V50"/>
  </mergeCells>
  <printOptions horizontalCentered="1"/>
  <pageMargins left="0" right="0" top="0" bottom="0" header="0" footer="0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SF9 - GRADE 4-10</vt:lpstr>
      <vt:lpstr>'SF9 - GRADE 4-10'!Print_Area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 ERVIN F. LUGATIMAN</dc:creator>
  <cp:lastModifiedBy>BONN ERVIN F. LUGATIMAN</cp:lastModifiedBy>
  <cp:lastPrinted>2026-10-22T03:28:27Z</cp:lastPrinted>
  <dcterms:created xsi:type="dcterms:W3CDTF">2026-10-16T05:49:49Z</dcterms:created>
  <dcterms:modified xsi:type="dcterms:W3CDTF">2026-10-27T08:00:37Z</dcterms:modified>
</cp:coreProperties>
</file>